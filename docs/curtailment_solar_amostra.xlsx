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Mensal" sheetId="3" state="visible" r:id="rId5"/>
    <sheet name="PLD" sheetId="4" state="visible" r:id="rId6"/>
  </sheets>
  <definedNames>
    <definedName function="false" hidden="true" localSheetId="2" name="_xlnm._FilterDatabase" vbProcedure="false">Mensal!$A$4:$N$169</definedName>
    <definedName function="false" hidden="true" localSheetId="1" name="_xlnm._FilterDatabase" vbProcedure="false">Resumo!$A$4:$O$88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<sst xmlns="http://schemas.openxmlformats.org/spreadsheetml/2006/main" count="1181" uniqueCount="272">
  <si>
    <t xml:space="preserve">Curtailment fotovoltaico — amostra</t>
  </si>
  <si>
    <t xml:space="preserve">O que é este arquivo</t>
  </si>
  <si>
    <t xml:space="preserve">Amostra gerada a partir dos dados reais do ONS (RESTRICAO_COFF_FOTOVOLTAICA_2026_08 e _2026_09) e do PLD médio semanal publicado pela CCEE. Serve para você conferir o formato antes de escolher os conjuntos definitivos.</t>
  </si>
  <si>
    <t xml:space="preserve">Período</t>
  </si>
  <si>
    <t xml:space="preserve">01/08/2026 a 07/09/2026</t>
  </si>
  <si>
    <t xml:space="preserve">Conjuntos</t>
  </si>
  <si>
    <t xml:space="preserve">84 conjuntos fotovoltaicos — todos os que o ONS publicou no período. Na versão final entram apenas os seus.</t>
  </si>
  <si>
    <t xml:space="preserve">Gerado em</t>
  </si>
  <si>
    <t xml:space="preserve">09/09/2026 11:01 UTC</t>
  </si>
  <si>
    <t xml:space="preserve">Fontes</t>
  </si>
  <si>
    <t xml:space="preserve">ONS — constrained-off FV</t>
  </si>
  <si>
    <t xml:space="preserve">https://dados.ons.org.br/dataset/restricao_coff_fotovoltaica</t>
  </si>
  <si>
    <t xml:space="preserve">ONS — fator de capacidade 2</t>
  </si>
  <si>
    <t xml:space="preserve">https://dados.ons.org.br/dataset/fator-capacidade-2  (latitude/longitude e capacidade instalada)</t>
  </si>
  <si>
    <t xml:space="preserve">CCEE — PLD médio semanal</t>
  </si>
  <si>
    <t xml:space="preserve">https://dadosabertos.ccee.org.br/dataset/pld_media_semanal</t>
  </si>
  <si>
    <t xml:space="preserve">CCEE — PLD horário</t>
  </si>
  <si>
    <t xml:space="preserve">https://dadosabertos.ccee.org.br/dataset/pld_horario_submercado  (usado na versão diária quando já publicado)</t>
  </si>
  <si>
    <t xml:space="preserve">Como as contas são feitas</t>
  </si>
  <si>
    <t xml:space="preserve">Energia não gerada (MWh)</t>
  </si>
  <si>
    <t xml:space="preserve">val_geracaonaorealizadaapurada (GNRa, em MWmed) × 0,5 h — cada registro do ONS é um patamar semi-horário. Só contam os patamares em que o ONS declarou razão de restrição.</t>
  </si>
  <si>
    <t xml:space="preserve">% do potencial</t>
  </si>
  <si>
    <t xml:space="preserve">Energia não gerada ÷ energia de referência (val_geracaoreferencia × 0,5 h) no período.</t>
  </si>
  <si>
    <t xml:space="preserve">Valor (R$)</t>
  </si>
  <si>
    <t xml:space="preserve">Energia não gerada × PLD do submercado. NESTA AMOSTRA o PLD é a média semanal da CCEE (o PLD horário de ago/set 2026 ainda não foi publicado); na versão diária usa-se o PLD horário assim que sai. É valor de mercado da energia perdida — custo de oportunidade — e não o ressarcimento de constrained-off apurado pela CCEE.</t>
  </si>
  <si>
    <t xml:space="preserve">PLD por mês/submercado</t>
  </si>
  <si>
    <t xml:space="preserve">Ver aba 'PLD'. O preço aplicado a cada mês é a média semanal ponderada pelo corte diário daquele submercado.</t>
  </si>
  <si>
    <t xml:space="preserve">Razões de restrição (ONS)</t>
  </si>
  <si>
    <t xml:space="preserve">REL</t>
  </si>
  <si>
    <t xml:space="preserve">Indisponibilidade externa (elétrica)</t>
  </si>
  <si>
    <t xml:space="preserve">CNF</t>
  </si>
  <si>
    <t xml:space="preserve">Confiabilidade</t>
  </si>
  <si>
    <t xml:space="preserve">ENE</t>
  </si>
  <si>
    <t xml:space="preserve">Razão energética</t>
  </si>
  <si>
    <t xml:space="preserve">PAR</t>
  </si>
  <si>
    <t xml:space="preserve">Restrição do parecer de acesso</t>
  </si>
  <si>
    <t xml:space="preserve">Aviso</t>
  </si>
  <si>
    <t xml:space="preserve">O ONS revisa os dados após a publicação; meses recentes mudam. Números em azul são entradas; os demais são fórmulas.</t>
  </si>
  <si>
    <t xml:space="preserve">Resumo por conjunto — usinas fotovoltaicas</t>
  </si>
  <si>
    <t xml:space="preserve">Tudo aqui é SUMIFS sobre a aba 'Mensal'; recalcula sozinho se você editar os dados.</t>
  </si>
  <si>
    <t xml:space="preserve">Conjunto</t>
  </si>
  <si>
    <t xml:space="preserve">ID ONS</t>
  </si>
  <si>
    <t xml:space="preserve">Submercado</t>
  </si>
  <si>
    <t xml:space="preserve">UF</t>
  </si>
  <si>
    <t xml:space="preserve">Capacidade (MW)</t>
  </si>
  <si>
    <t xml:space="preserve">REL (MWh)</t>
  </si>
  <si>
    <t xml:space="preserve">CNF (MWh)</t>
  </si>
  <si>
    <t xml:space="preserve">ENE (MWh)</t>
  </si>
  <si>
    <t xml:space="preserve">PAR (MWh)</t>
  </si>
  <si>
    <t xml:space="preserve">MWh não gerados</t>
  </si>
  <si>
    <t xml:space="preserve">R$/MWh médio</t>
  </si>
  <si>
    <t xml:space="preserve">Latitude</t>
  </si>
  <si>
    <t xml:space="preserve">Longitude</t>
  </si>
  <si>
    <t xml:space="preserve">Agente</t>
  </si>
  <si>
    <t xml:space="preserve">Assú V</t>
  </si>
  <si>
    <t xml:space="preserve">RNFVAE</t>
  </si>
  <si>
    <t xml:space="preserve">Nordeste</t>
  </si>
  <si>
    <t xml:space="preserve">RN</t>
  </si>
  <si>
    <t xml:space="preserve">ENGIE</t>
  </si>
  <si>
    <t xml:space="preserve">Conj. Abaiara 230 kV</t>
  </si>
  <si>
    <t xml:space="preserve">CJU_CEAB2</t>
  </si>
  <si>
    <t xml:space="preserve">CE</t>
  </si>
  <si>
    <t xml:space="preserve">VOLTALIA</t>
  </si>
  <si>
    <t xml:space="preserve">Conj. Alex</t>
  </si>
  <si>
    <t xml:space="preserve">CJU_CEUFAL</t>
  </si>
  <si>
    <t xml:space="preserve">ELERA RENOVAVEIS</t>
  </si>
  <si>
    <t xml:space="preserve">Conj. Araxá</t>
  </si>
  <si>
    <t xml:space="preserve">CJU_MGARX</t>
  </si>
  <si>
    <t xml:space="preserve">Sudeste/CO</t>
  </si>
  <si>
    <t xml:space="preserve">MG</t>
  </si>
  <si>
    <t xml:space="preserve">VISUS ENGENHARIA</t>
  </si>
  <si>
    <t xml:space="preserve">Conj. Arinos 2 500 kV</t>
  </si>
  <si>
    <t xml:space="preserve">CJU_MGARN</t>
  </si>
  <si>
    <t xml:space="preserve">Conj. Assu Sol</t>
  </si>
  <si>
    <t xml:space="preserve">CJU_RNASO</t>
  </si>
  <si>
    <t xml:space="preserve">Conj. Açú III 230 kV</t>
  </si>
  <si>
    <t xml:space="preserve">CJU_RNMEND</t>
  </si>
  <si>
    <t xml:space="preserve">ENGEPAT</t>
  </si>
  <si>
    <t xml:space="preserve">Conj. BJL</t>
  </si>
  <si>
    <t xml:space="preserve">CJU_BABJL</t>
  </si>
  <si>
    <t xml:space="preserve">BA</t>
  </si>
  <si>
    <t xml:space="preserve">Conj. Babilônia Centro</t>
  </si>
  <si>
    <t xml:space="preserve">CJU_BA4FBBC</t>
  </si>
  <si>
    <t xml:space="preserve">CVER</t>
  </si>
  <si>
    <t xml:space="preserve">Conj. Babilônia Sul</t>
  </si>
  <si>
    <t xml:space="preserve">CJU_BA4FBBS</t>
  </si>
  <si>
    <t xml:space="preserve">Conj. Banabuiú</t>
  </si>
  <si>
    <t xml:space="preserve">CJU_CEPTN</t>
  </si>
  <si>
    <t xml:space="preserve">SPIC BRASIL ENERGIA</t>
  </si>
  <si>
    <t xml:space="preserve">Conj. Barreiras II 500 kV</t>
  </si>
  <si>
    <t xml:space="preserve">CJU_BABRD</t>
  </si>
  <si>
    <t xml:space="preserve">ECHOENERGIA</t>
  </si>
  <si>
    <t xml:space="preserve">Conj. Barro Alto 230kV</t>
  </si>
  <si>
    <t xml:space="preserve">CJU_GOCFVB</t>
  </si>
  <si>
    <t xml:space="preserve">GO</t>
  </si>
  <si>
    <t xml:space="preserve">Conj. Belmonte</t>
  </si>
  <si>
    <t xml:space="preserve">CJU_PEBELM</t>
  </si>
  <si>
    <t xml:space="preserve">PE</t>
  </si>
  <si>
    <t xml:space="preserve">COBRA BRASIL</t>
  </si>
  <si>
    <t xml:space="preserve">Conj. Boa Hora</t>
  </si>
  <si>
    <t xml:space="preserve">CJU_SPUFBH</t>
  </si>
  <si>
    <t xml:space="preserve">SP</t>
  </si>
  <si>
    <t xml:space="preserve">AUREN OPERAÇÕES</t>
  </si>
  <si>
    <t xml:space="preserve">Conj. Boa Sorte</t>
  </si>
  <si>
    <t xml:space="preserve">CJU_MGBST1</t>
  </si>
  <si>
    <t xml:space="preserve">IQONY</t>
  </si>
  <si>
    <t xml:space="preserve">Conj. Bom Jesus</t>
  </si>
  <si>
    <t xml:space="preserve">CJU_BABJU</t>
  </si>
  <si>
    <t xml:space="preserve">CGN BRASIL</t>
  </si>
  <si>
    <t xml:space="preserve">Conj. Bom Nome</t>
  </si>
  <si>
    <t xml:space="preserve">CJU_PESPP</t>
  </si>
  <si>
    <t xml:space="preserve">Conj. Brígida</t>
  </si>
  <si>
    <t xml:space="preserve">CJU_PEBRI</t>
  </si>
  <si>
    <t xml:space="preserve">Conj. Calcário</t>
  </si>
  <si>
    <t xml:space="preserve">CJU_CECAL</t>
  </si>
  <si>
    <t xml:space="preserve">Conj. Castilho</t>
  </si>
  <si>
    <t xml:space="preserve">CJU_SPCST3</t>
  </si>
  <si>
    <t xml:space="preserve">COTESA</t>
  </si>
  <si>
    <t xml:space="preserve">Conj. Ciranda</t>
  </si>
  <si>
    <t xml:space="preserve">CJU_PECIR</t>
  </si>
  <si>
    <t xml:space="preserve">Conj. Dracena</t>
  </si>
  <si>
    <t xml:space="preserve">CJU_SPUFD</t>
  </si>
  <si>
    <t xml:space="preserve">Conj. Draco</t>
  </si>
  <si>
    <t xml:space="preserve">CJU_MGDRC</t>
  </si>
  <si>
    <t xml:space="preserve">Conj. Floresta</t>
  </si>
  <si>
    <t xml:space="preserve">CJU_RNFLO</t>
  </si>
  <si>
    <t xml:space="preserve">Conj. Fot. Brotas de Macaúbas 230 kV</t>
  </si>
  <si>
    <t xml:space="preserve">CJU_BA4FBMC</t>
  </si>
  <si>
    <t xml:space="preserve">STATKRAFT</t>
  </si>
  <si>
    <t xml:space="preserve">Conj. Francisco Sá</t>
  </si>
  <si>
    <t xml:space="preserve">CJU_MGFSA</t>
  </si>
  <si>
    <t xml:space="preserve">BEI BRASIL ENER INT</t>
  </si>
  <si>
    <t xml:space="preserve">Conj. Futura</t>
  </si>
  <si>
    <t xml:space="preserve">CJU_BAFFUT</t>
  </si>
  <si>
    <t xml:space="preserve">ENEVA</t>
  </si>
  <si>
    <t xml:space="preserve">Conj. Gilbués II 500 kV</t>
  </si>
  <si>
    <t xml:space="preserve">CJU_PI5FGID</t>
  </si>
  <si>
    <t xml:space="preserve">PI</t>
  </si>
  <si>
    <t xml:space="preserve">ENEL</t>
  </si>
  <si>
    <t xml:space="preserve">Conj. Guaimbê</t>
  </si>
  <si>
    <t xml:space="preserve">CJU_SPCUFG</t>
  </si>
  <si>
    <t xml:space="preserve">Conj. Helio Valgas</t>
  </si>
  <si>
    <t xml:space="preserve">CJU_MGVZPQ</t>
  </si>
  <si>
    <t xml:space="preserve">Conj. Horizonte</t>
  </si>
  <si>
    <t xml:space="preserve">CJU_BAHZT</t>
  </si>
  <si>
    <t xml:space="preserve">Conj. Icó 230 kV</t>
  </si>
  <si>
    <t xml:space="preserve">CJU_CE4FICO</t>
  </si>
  <si>
    <t xml:space="preserve">QAIR BRASIL</t>
  </si>
  <si>
    <t xml:space="preserve">Conj. Inocência 230 kV</t>
  </si>
  <si>
    <t xml:space="preserve">CJU_MS4FINO</t>
  </si>
  <si>
    <t xml:space="preserve">MS</t>
  </si>
  <si>
    <t xml:space="preserve">Conj. Irecê 138 kV</t>
  </si>
  <si>
    <t xml:space="preserve">CJU_BA3FIRE</t>
  </si>
  <si>
    <t xml:space="preserve">Conj. Ituverava</t>
  </si>
  <si>
    <t xml:space="preserve">CJU_BATBV</t>
  </si>
  <si>
    <t xml:space="preserve">Conj. Jaguaruana II 230kV</t>
  </si>
  <si>
    <t xml:space="preserve">CJU_CEAPA</t>
  </si>
  <si>
    <t xml:space="preserve">Conj. Jaiba 138 kV</t>
  </si>
  <si>
    <t xml:space="preserve">CJU_MGJAI3</t>
  </si>
  <si>
    <t xml:space="preserve">Conj. Janaúba</t>
  </si>
  <si>
    <t xml:space="preserve">CJU_MGJAN</t>
  </si>
  <si>
    <t xml:space="preserve">Conj. Jaíba 4 (Distribuição)</t>
  </si>
  <si>
    <t xml:space="preserve">CJU_MGUJAI</t>
  </si>
  <si>
    <t xml:space="preserve">Conj. Jaíba V</t>
  </si>
  <si>
    <t xml:space="preserve">CJU_MGSDJ</t>
  </si>
  <si>
    <t xml:space="preserve">Conj. Juazeiro II 230 kV</t>
  </si>
  <si>
    <t xml:space="preserve">CJU_BA4FJZD</t>
  </si>
  <si>
    <t xml:space="preserve">Conj. Lapa</t>
  </si>
  <si>
    <t xml:space="preserve">CJU_BALAP</t>
  </si>
  <si>
    <t xml:space="preserve">Conj. Lar do Sol</t>
  </si>
  <si>
    <t xml:space="preserve">CJU_MGUFLS</t>
  </si>
  <si>
    <t xml:space="preserve">Conj. Lavras</t>
  </si>
  <si>
    <t xml:space="preserve">CJU_CELAV</t>
  </si>
  <si>
    <t xml:space="preserve">Conj. Lins</t>
  </si>
  <si>
    <t xml:space="preserve">CJU_CELINS</t>
  </si>
  <si>
    <t xml:space="preserve">Conj. Luzia</t>
  </si>
  <si>
    <t xml:space="preserve">CJU_PBLZA</t>
  </si>
  <si>
    <t xml:space="preserve">PB</t>
  </si>
  <si>
    <t xml:space="preserve">NEO REN</t>
  </si>
  <si>
    <t xml:space="preserve">Conj. Marangatu</t>
  </si>
  <si>
    <t xml:space="preserve">CJU_PIFMRG</t>
  </si>
  <si>
    <t xml:space="preserve">Conj. Mauriti</t>
  </si>
  <si>
    <t xml:space="preserve">CJU_CEMTD</t>
  </si>
  <si>
    <t xml:space="preserve">Conj. Monte Verde Solar</t>
  </si>
  <si>
    <t xml:space="preserve">CJU_RNMVS</t>
  </si>
  <si>
    <t xml:space="preserve">EDP BRASIL</t>
  </si>
  <si>
    <t xml:space="preserve">Conj. Nova Olinda</t>
  </si>
  <si>
    <t xml:space="preserve">CJU_PINVO</t>
  </si>
  <si>
    <t xml:space="preserve">Conj. Paracatu</t>
  </si>
  <si>
    <t xml:space="preserve">CJU_MGUFPU</t>
  </si>
  <si>
    <t xml:space="preserve">Conj. Paracatu 4 500 kV</t>
  </si>
  <si>
    <t xml:space="preserve">CJU_MGPR4</t>
  </si>
  <si>
    <t xml:space="preserve">Conj. Paracatu 4 Piloto</t>
  </si>
  <si>
    <t xml:space="preserve">CJU_MGPR4P</t>
  </si>
  <si>
    <t xml:space="preserve">Conj. Pedranópolis</t>
  </si>
  <si>
    <t xml:space="preserve">CJU_SPPED</t>
  </si>
  <si>
    <t xml:space="preserve">Conj. Pereira Barreto</t>
  </si>
  <si>
    <t xml:space="preserve">CJU_SPPB</t>
  </si>
  <si>
    <t xml:space="preserve">Conj. Pirapora 2</t>
  </si>
  <si>
    <t xml:space="preserve">CJU_MGCPIR</t>
  </si>
  <si>
    <t xml:space="preserve">Conj. Ribeiro Gonçalves</t>
  </si>
  <si>
    <t xml:space="preserve">CJU_PIRG3</t>
  </si>
  <si>
    <t xml:space="preserve">Conj. Ribeiro Gonçalves 500 kV</t>
  </si>
  <si>
    <t xml:space="preserve">CJU_PI5FRGV</t>
  </si>
  <si>
    <t xml:space="preserve">Conj. Rio Alto</t>
  </si>
  <si>
    <t xml:space="preserve">CJU_PBRAL</t>
  </si>
  <si>
    <t xml:space="preserve">SIMM</t>
  </si>
  <si>
    <t xml:space="preserve">Conj. Rio Brilhante 230kV</t>
  </si>
  <si>
    <t xml:space="preserve">CJU_MS4FRBE</t>
  </si>
  <si>
    <t xml:space="preserve">Conj. Russas II 230 kV</t>
  </si>
  <si>
    <t xml:space="preserve">CJU_CE4FRSD</t>
  </si>
  <si>
    <t xml:space="preserve">Conj. SJP</t>
  </si>
  <si>
    <t xml:space="preserve">CJU_PISJP</t>
  </si>
  <si>
    <t xml:space="preserve">CELEO</t>
  </si>
  <si>
    <t xml:space="preserve">Conj. Santa Luzia II 500 kV</t>
  </si>
  <si>
    <t xml:space="preserve">CJU_PBSLDF5</t>
  </si>
  <si>
    <t xml:space="preserve">Conj. Serra da Babilônia</t>
  </si>
  <si>
    <t xml:space="preserve">CJU_BASSDB</t>
  </si>
  <si>
    <t xml:space="preserve">Conj. Serra do Mato</t>
  </si>
  <si>
    <t xml:space="preserve">CJU_CEFSEM</t>
  </si>
  <si>
    <t xml:space="preserve">Conj. Serra do Mel C</t>
  </si>
  <si>
    <t xml:space="preserve">CJU_RNSDMC</t>
  </si>
  <si>
    <t xml:space="preserve">Conj. Serrita</t>
  </si>
  <si>
    <t xml:space="preserve">CJU_PEMRRC</t>
  </si>
  <si>
    <t xml:space="preserve">Conj. Sertão Solar Barreiras</t>
  </si>
  <si>
    <t xml:space="preserve">CJU_BASSB</t>
  </si>
  <si>
    <t xml:space="preserve">Conj. Simplice</t>
  </si>
  <si>
    <t xml:space="preserve">CJU_RNSPC</t>
  </si>
  <si>
    <t xml:space="preserve">Conj. Sol do Cerrado</t>
  </si>
  <si>
    <t xml:space="preserve">CJU_MGSDC</t>
  </si>
  <si>
    <t xml:space="preserve">Conj. Sol do Futuro</t>
  </si>
  <si>
    <t xml:space="preserve">CJU_CESDF</t>
  </si>
  <si>
    <t xml:space="preserve">Conj. Sol do Sertão</t>
  </si>
  <si>
    <t xml:space="preserve">CJU_BASSD</t>
  </si>
  <si>
    <t xml:space="preserve">CHAPADA BRANCA</t>
  </si>
  <si>
    <t xml:space="preserve">Conj. São Basílio</t>
  </si>
  <si>
    <t xml:space="preserve">CJU_PIFSBA</t>
  </si>
  <si>
    <t xml:space="preserve">Conj. São Pedro</t>
  </si>
  <si>
    <t xml:space="preserve">CJU_BASPD</t>
  </si>
  <si>
    <t xml:space="preserve">Conj. Tacaimbó 230 kV</t>
  </si>
  <si>
    <t xml:space="preserve">CJU_PESODA</t>
  </si>
  <si>
    <t xml:space="preserve">ATIAIA ENERGIA</t>
  </si>
  <si>
    <t xml:space="preserve">Conj. Tacaratu</t>
  </si>
  <si>
    <t xml:space="preserve">CJU_PEFTAT</t>
  </si>
  <si>
    <t xml:space="preserve">Conj. Três Marias 3 138 kV</t>
  </si>
  <si>
    <t xml:space="preserve">CJU_MGJSNU</t>
  </si>
  <si>
    <t xml:space="preserve">CEMIG GT</t>
  </si>
  <si>
    <t xml:space="preserve">Conj. Urucuia 2 (Distribuição)</t>
  </si>
  <si>
    <t xml:space="preserve">CJU_MGUFUR</t>
  </si>
  <si>
    <t xml:space="preserve">Conj. Varzea da Palma 7</t>
  </si>
  <si>
    <t xml:space="preserve">CJU_MGVZP</t>
  </si>
  <si>
    <t xml:space="preserve">Conj. Vista Alegre - Janaúba</t>
  </si>
  <si>
    <t xml:space="preserve">CJU_MGVST1</t>
  </si>
  <si>
    <t xml:space="preserve">Flor de Mandacaru</t>
  </si>
  <si>
    <t xml:space="preserve">CEFFDM</t>
  </si>
  <si>
    <t xml:space="preserve">Pitombeira</t>
  </si>
  <si>
    <t xml:space="preserve">CEUPTM</t>
  </si>
  <si>
    <t xml:space="preserve">AF ENERGIA</t>
  </si>
  <si>
    <t xml:space="preserve">Sol do Piauí</t>
  </si>
  <si>
    <t xml:space="preserve">PISDP1</t>
  </si>
  <si>
    <t xml:space="preserve">TOTAL</t>
  </si>
  <si>
    <t xml:space="preserve">Energia não gerada por conjunto e mês — dados do ONS</t>
  </si>
  <si>
    <t xml:space="preserve">Valores em azul vêm direto dos arquivos do ONS/CCEE.</t>
  </si>
  <si>
    <t xml:space="preserve">Mês</t>
  </si>
  <si>
    <t xml:space="preserve">Energia de referência (MWh)</t>
  </si>
  <si>
    <t xml:space="preserve">PLD aplicado (R$/MWh)</t>
  </si>
  <si>
    <t xml:space="preserve">PLD médio semanal por submercado — CCEE Dados Abertos</t>
  </si>
  <si>
    <t xml:space="preserve">Semanas CCEE começam no sábado. Fonte: dadosabertos.ccee.org.br/dataset/pld_media_semanal (resource pld_media_semanal_2026).</t>
  </si>
  <si>
    <t xml:space="preserve">Semana (início)</t>
  </si>
  <si>
    <t xml:space="preserve">PLD (R$/MWh)</t>
  </si>
  <si>
    <t xml:space="preserve">Norte</t>
  </si>
  <si>
    <t xml:space="preserve">Sul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</si>
</sst>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&quot;R$ &quot;#,##0.00;[RED]&quot;-R$ &quot;#,##0.00;\-"/>
    <numFmt numFmtId="167" formatCode="0.000000"/>
    <numFmt numFmtId="168" formatCode="mmm/yyyy"/>
    <numFmt numFmtId="169" formatCode="0.0%"/>
    <numFmt numFmtId="170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4"/>
  </cols>
  <sheetData>
    <row r="1" customFormat="false" ht="16.1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2" t="s">
        <v>9</v>
      </c>
    </row>
    <row r="9" customFormat="false" ht="15" hidden="false" customHeight="false" outlineLevel="0" collapsed="false">
      <c r="A9" s="2" t="s">
        <v>10</v>
      </c>
      <c r="B9" s="3" t="s">
        <v>11</v>
      </c>
    </row>
    <row r="10" customFormat="false" ht="15" hidden="false" customHeight="false" outlineLevel="0" collapsed="false">
      <c r="A10" s="2" t="s">
        <v>12</v>
      </c>
      <c r="B10" s="3" t="s">
        <v>13</v>
      </c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4" customFormat="false" ht="15" hidden="false" customHeight="false" outlineLevel="0" collapsed="false">
      <c r="A14" s="2" t="s">
        <v>18</v>
      </c>
    </row>
    <row r="15" customFormat="false" ht="23.8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22</v>
      </c>
    </row>
    <row r="17" customFormat="false" ht="35.05" hidden="false" customHeight="false" outlineLevel="0" collapsed="false">
      <c r="A17" s="2" t="s">
        <v>23</v>
      </c>
      <c r="B17" s="3" t="s">
        <v>24</v>
      </c>
    </row>
    <row r="18" customFormat="false" ht="15" hidden="false" customHeight="false" outlineLevel="0" collapsed="false">
      <c r="A18" s="2" t="s">
        <v>25</v>
      </c>
      <c r="B18" s="3" t="s">
        <v>26</v>
      </c>
    </row>
    <row r="20" customFormat="false" ht="15" hidden="false" customHeight="false" outlineLevel="0" collapsed="false">
      <c r="A20" s="2" t="s">
        <v>27</v>
      </c>
    </row>
    <row r="21" customFormat="false" ht="15" hidden="false" customHeight="false" outlineLevel="0" collapsed="false">
      <c r="A21" s="2" t="s">
        <v>28</v>
      </c>
      <c r="B21" s="3" t="s">
        <v>29</v>
      </c>
    </row>
    <row r="22" customFormat="false" ht="15" hidden="false" customHeight="false" outlineLevel="0" collapsed="false">
      <c r="A22" s="2" t="s">
        <v>30</v>
      </c>
      <c r="B22" s="3" t="s">
        <v>31</v>
      </c>
    </row>
    <row r="23" customFormat="false" ht="15" hidden="false" customHeight="false" outlineLevel="0" collapsed="false">
      <c r="A23" s="2" t="s">
        <v>32</v>
      </c>
      <c r="B23" s="3" t="s">
        <v>33</v>
      </c>
    </row>
    <row r="24" customFormat="false" ht="15" hidden="false" customHeight="false" outlineLevel="0" collapsed="false">
      <c r="A24" s="2" t="s">
        <v>34</v>
      </c>
      <c r="B24" s="3" t="s">
        <v>35</v>
      </c>
    </row>
    <row r="26" customFormat="false" ht="15" hidden="false" customHeight="false" outlineLevel="0" collapsed="false">
      <c r="A26" s="4" t="s">
        <v>36</v>
      </c>
      <c r="B26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4"/>
    <col collapsed="false" customWidth="true" hidden="false" outlineLevel="0" max="15" min="15" style="0" width="26"/>
  </cols>
  <sheetData>
    <row r="1" customFormat="false" ht="16.15" hidden="false" customHeight="false" outlineLevel="0" collapsed="false">
      <c r="A1" s="6" t="s">
        <v>38</v>
      </c>
    </row>
    <row r="2" customFormat="false" ht="15" hidden="false" customHeight="false" outlineLevel="0" collapsed="false">
      <c r="A2" s="7" t="s">
        <v>39</v>
      </c>
    </row>
    <row r="4" customFormat="false" ht="23.85" hidden="false" customHeight="fals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K4" s="8" t="s">
        <v>23</v>
      </c>
      <c r="L4" s="8" t="s">
        <v>50</v>
      </c>
      <c r="M4" s="8" t="s">
        <v>51</v>
      </c>
      <c r="N4" s="8" t="s">
        <v>52</v>
      </c>
      <c r="O4" s="8" t="s">
        <v>53</v>
      </c>
    </row>
    <row r="5" customFormat="false" ht="15" hidden="false" customHeight="false" outlineLevel="0" collapsed="false">
      <c r="A5" s="9" t="s">
        <v>54</v>
      </c>
      <c r="B5" s="9" t="s">
        <v>55</v>
      </c>
      <c r="C5" s="9" t="s">
        <v>56</v>
      </c>
      <c r="D5" s="9" t="s">
        <v>57</v>
      </c>
      <c r="E5" s="10" t="n">
        <v>34</v>
      </c>
      <c r="F5" s="11" t="n">
        <f aca="false">SUMIFS(Mensal!$F$5:$F$169,Mensal!$B$5:$B$169,$B5)</f>
        <v>143.9</v>
      </c>
      <c r="G5" s="11" t="n">
        <f aca="false">SUMIFS(Mensal!$G$5:$G$169,Mensal!$B$5:$B$169,$B5)</f>
        <v>804.4</v>
      </c>
      <c r="H5" s="11" t="n">
        <f aca="false">SUMIFS(Mensal!$H$5:$H$169,Mensal!$B$5:$B$169,$B5)</f>
        <v>2721.9</v>
      </c>
      <c r="I5" s="11" t="n">
        <f aca="false">SUMIFS(Mensal!$I$5:$I$169,Mensal!$B$5:$B$169,$B5)</f>
        <v>0</v>
      </c>
      <c r="J5" s="11" t="n">
        <f aca="false">SUM(F5:I5)</f>
        <v>3670.2</v>
      </c>
      <c r="K5" s="12" t="n">
        <f aca="false">SUMIFS(Mensal!$N$5:$N$169,Mensal!$B$5:$B$169,$B5)</f>
        <v>499160.802</v>
      </c>
      <c r="L5" s="12" t="n">
        <f aca="false">IFERROR(K5/J5,"")</f>
        <v>136.003706065065</v>
      </c>
      <c r="M5" s="13" t="n">
        <v>-5.54600429</v>
      </c>
      <c r="N5" s="13" t="n">
        <v>-37.02639026</v>
      </c>
      <c r="O5" s="9" t="s">
        <v>58</v>
      </c>
    </row>
    <row r="6" customFormat="false" ht="15" hidden="false" customHeight="false" outlineLevel="0" collapsed="false">
      <c r="A6" s="9" t="s">
        <v>59</v>
      </c>
      <c r="B6" s="9" t="s">
        <v>60</v>
      </c>
      <c r="C6" s="9" t="s">
        <v>56</v>
      </c>
      <c r="D6" s="9" t="s">
        <v>61</v>
      </c>
      <c r="E6" s="10" t="n">
        <v>163.701</v>
      </c>
      <c r="F6" s="11" t="n">
        <f aca="false">SUMIFS(Mensal!$F$5:$F$169,Mensal!$B$5:$B$169,$B6)</f>
        <v>9</v>
      </c>
      <c r="G6" s="11" t="n">
        <f aca="false">SUMIFS(Mensal!$G$5:$G$169,Mensal!$B$5:$B$169,$B6)</f>
        <v>0</v>
      </c>
      <c r="H6" s="11" t="n">
        <f aca="false">SUMIFS(Mensal!$H$5:$H$169,Mensal!$B$5:$B$169,$B6)</f>
        <v>11784.5</v>
      </c>
      <c r="I6" s="11" t="n">
        <f aca="false">SUMIFS(Mensal!$I$5:$I$169,Mensal!$B$5:$B$169,$B6)</f>
        <v>0</v>
      </c>
      <c r="J6" s="11" t="n">
        <f aca="false">SUM(F6:I6)</f>
        <v>11793.5</v>
      </c>
      <c r="K6" s="12" t="n">
        <f aca="false">SUMIFS(Mensal!$N$5:$N$169,Mensal!$B$5:$B$169,$B6)</f>
        <v>1665680.24</v>
      </c>
      <c r="L6" s="12" t="n">
        <f aca="false">IFERROR(K6/J6,"")</f>
        <v>141.237142493747</v>
      </c>
      <c r="M6" s="13" t="n">
        <v>-7.391467</v>
      </c>
      <c r="N6" s="13" t="n">
        <v>-38.970836</v>
      </c>
      <c r="O6" s="9" t="s">
        <v>62</v>
      </c>
    </row>
    <row r="7" customFormat="false" ht="15" hidden="false" customHeight="false" outlineLevel="0" collapsed="false">
      <c r="A7" s="9" t="s">
        <v>63</v>
      </c>
      <c r="B7" s="9" t="s">
        <v>64</v>
      </c>
      <c r="C7" s="9" t="s">
        <v>56</v>
      </c>
      <c r="D7" s="9" t="s">
        <v>61</v>
      </c>
      <c r="E7" s="10" t="n">
        <v>278.397</v>
      </c>
      <c r="F7" s="11" t="n">
        <f aca="false">SUMIFS(Mensal!$F$5:$F$169,Mensal!$B$5:$B$169,$B7)</f>
        <v>2547.9</v>
      </c>
      <c r="G7" s="11" t="n">
        <f aca="false">SUMIFS(Mensal!$G$5:$G$169,Mensal!$B$5:$B$169,$B7)</f>
        <v>0</v>
      </c>
      <c r="H7" s="11" t="n">
        <f aca="false">SUMIFS(Mensal!$H$5:$H$169,Mensal!$B$5:$B$169,$B7)</f>
        <v>16928.7</v>
      </c>
      <c r="I7" s="11" t="n">
        <f aca="false">SUMIFS(Mensal!$I$5:$I$169,Mensal!$B$5:$B$169,$B7)</f>
        <v>0</v>
      </c>
      <c r="J7" s="11" t="n">
        <f aca="false">SUM(F7:I7)</f>
        <v>19476.6</v>
      </c>
      <c r="K7" s="12" t="n">
        <f aca="false">SUMIFS(Mensal!$N$5:$N$169,Mensal!$B$5:$B$169,$B7)</f>
        <v>2682327.186</v>
      </c>
      <c r="L7" s="12" t="n">
        <f aca="false">IFERROR(K7/J7,"")</f>
        <v>137.720504913589</v>
      </c>
      <c r="M7" s="13" t="n">
        <v>-5.269671</v>
      </c>
      <c r="N7" s="13" t="n">
        <v>-37.967945</v>
      </c>
      <c r="O7" s="9" t="s">
        <v>65</v>
      </c>
    </row>
    <row r="8" customFormat="false" ht="15" hidden="false" customHeight="false" outlineLevel="0" collapsed="false">
      <c r="A8" s="9" t="s">
        <v>66</v>
      </c>
      <c r="B8" s="9" t="s">
        <v>67</v>
      </c>
      <c r="C8" s="9" t="s">
        <v>68</v>
      </c>
      <c r="D8" s="9" t="s">
        <v>69</v>
      </c>
      <c r="E8" s="10" t="n">
        <v>90</v>
      </c>
      <c r="F8" s="11" t="n">
        <f aca="false">SUMIFS(Mensal!$F$5:$F$169,Mensal!$B$5:$B$169,$B8)</f>
        <v>0</v>
      </c>
      <c r="G8" s="11" t="n">
        <f aca="false">SUMIFS(Mensal!$G$5:$G$169,Mensal!$B$5:$B$169,$B8)</f>
        <v>0</v>
      </c>
      <c r="H8" s="11" t="n">
        <f aca="false">SUMIFS(Mensal!$H$5:$H$169,Mensal!$B$5:$B$169,$B8)</f>
        <v>9080.1</v>
      </c>
      <c r="I8" s="11" t="n">
        <f aca="false">SUMIFS(Mensal!$I$5:$I$169,Mensal!$B$5:$B$169,$B8)</f>
        <v>0</v>
      </c>
      <c r="J8" s="11" t="n">
        <f aca="false">SUM(F8:I8)</f>
        <v>9080.1</v>
      </c>
      <c r="K8" s="12" t="n">
        <f aca="false">SUMIFS(Mensal!$N$5:$N$169,Mensal!$B$5:$B$169,$B8)</f>
        <v>1248313.977</v>
      </c>
      <c r="L8" s="12" t="n">
        <f aca="false">IFERROR(K8/J8,"")</f>
        <v>137.477998810586</v>
      </c>
      <c r="M8" s="13" t="n">
        <v>-19.7626016</v>
      </c>
      <c r="N8" s="13" t="n">
        <v>-47.0477832</v>
      </c>
      <c r="O8" s="9" t="s">
        <v>70</v>
      </c>
    </row>
    <row r="9" customFormat="false" ht="15" hidden="false" customHeight="false" outlineLevel="0" collapsed="false">
      <c r="A9" s="9" t="s">
        <v>71</v>
      </c>
      <c r="B9" s="9" t="s">
        <v>72</v>
      </c>
      <c r="C9" s="9" t="s">
        <v>68</v>
      </c>
      <c r="D9" s="9" t="s">
        <v>69</v>
      </c>
      <c r="E9" s="10" t="n">
        <v>1189.867</v>
      </c>
      <c r="F9" s="11" t="n">
        <f aca="false">SUMIFS(Mensal!$F$5:$F$169,Mensal!$B$5:$B$169,$B9)</f>
        <v>81.6</v>
      </c>
      <c r="G9" s="11" t="n">
        <f aca="false">SUMIFS(Mensal!$G$5:$G$169,Mensal!$B$5:$B$169,$B9)</f>
        <v>0</v>
      </c>
      <c r="H9" s="11" t="n">
        <f aca="false">SUMIFS(Mensal!$H$5:$H$169,Mensal!$B$5:$B$169,$B9)</f>
        <v>100127.1</v>
      </c>
      <c r="I9" s="11" t="n">
        <f aca="false">SUMIFS(Mensal!$I$5:$I$169,Mensal!$B$5:$B$169,$B9)</f>
        <v>0</v>
      </c>
      <c r="J9" s="11" t="n">
        <f aca="false">SUM(F9:I9)</f>
        <v>100208.7</v>
      </c>
      <c r="K9" s="12" t="n">
        <f aca="false">SUMIFS(Mensal!$N$5:$N$169,Mensal!$B$5:$B$169,$B9)</f>
        <v>14037919.587</v>
      </c>
      <c r="L9" s="12" t="n">
        <f aca="false">IFERROR(K9/J9,"")</f>
        <v>140.086834646094</v>
      </c>
      <c r="M9" s="13" t="n">
        <v>-15.737569</v>
      </c>
      <c r="N9" s="13" t="n">
        <v>-45.965895</v>
      </c>
      <c r="O9" s="9" t="s">
        <v>62</v>
      </c>
    </row>
    <row r="10" customFormat="false" ht="15" hidden="false" customHeight="false" outlineLevel="0" collapsed="false">
      <c r="A10" s="9" t="s">
        <v>73</v>
      </c>
      <c r="B10" s="9" t="s">
        <v>74</v>
      </c>
      <c r="C10" s="9" t="s">
        <v>56</v>
      </c>
      <c r="D10" s="9" t="s">
        <v>57</v>
      </c>
      <c r="E10" s="10" t="n">
        <v>752.651</v>
      </c>
      <c r="F10" s="11" t="n">
        <f aca="false">SUMIFS(Mensal!$F$5:$F$169,Mensal!$B$5:$B$169,$B10)</f>
        <v>2729.5</v>
      </c>
      <c r="G10" s="11" t="n">
        <f aca="false">SUMIFS(Mensal!$G$5:$G$169,Mensal!$B$5:$B$169,$B10)</f>
        <v>16074</v>
      </c>
      <c r="H10" s="11" t="n">
        <f aca="false">SUMIFS(Mensal!$H$5:$H$169,Mensal!$B$5:$B$169,$B10)</f>
        <v>66793.5</v>
      </c>
      <c r="I10" s="11" t="n">
        <f aca="false">SUMIFS(Mensal!$I$5:$I$169,Mensal!$B$5:$B$169,$B10)</f>
        <v>0</v>
      </c>
      <c r="J10" s="11" t="n">
        <f aca="false">SUM(F10:I10)</f>
        <v>85597</v>
      </c>
      <c r="K10" s="12" t="n">
        <f aca="false">SUMIFS(Mensal!$N$5:$N$169,Mensal!$B$5:$B$169,$B10)</f>
        <v>11528359.5</v>
      </c>
      <c r="L10" s="12" t="n">
        <f aca="false">IFERROR(K10/J10,"")</f>
        <v>134.681817119759</v>
      </c>
      <c r="M10" s="13" t="n">
        <v>-5.59</v>
      </c>
      <c r="N10" s="13" t="n">
        <v>-37.0346</v>
      </c>
      <c r="O10" s="9" t="s">
        <v>58</v>
      </c>
    </row>
    <row r="11" customFormat="false" ht="15" hidden="false" customHeight="false" outlineLevel="0" collapsed="false">
      <c r="A11" s="9" t="s">
        <v>75</v>
      </c>
      <c r="B11" s="9" t="s">
        <v>76</v>
      </c>
      <c r="C11" s="9" t="s">
        <v>56</v>
      </c>
      <c r="D11" s="9" t="s">
        <v>57</v>
      </c>
      <c r="E11" s="10" t="n">
        <v>452.412</v>
      </c>
      <c r="F11" s="11" t="n">
        <f aca="false">SUMIFS(Mensal!$F$5:$F$169,Mensal!$B$5:$B$169,$B11)</f>
        <v>2102.6</v>
      </c>
      <c r="G11" s="11" t="n">
        <f aca="false">SUMIFS(Mensal!$G$5:$G$169,Mensal!$B$5:$B$169,$B11)</f>
        <v>9907.1</v>
      </c>
      <c r="H11" s="11" t="n">
        <f aca="false">SUMIFS(Mensal!$H$5:$H$169,Mensal!$B$5:$B$169,$B11)</f>
        <v>36470.4</v>
      </c>
      <c r="I11" s="11" t="n">
        <f aca="false">SUMIFS(Mensal!$I$5:$I$169,Mensal!$B$5:$B$169,$B11)</f>
        <v>0</v>
      </c>
      <c r="J11" s="11" t="n">
        <f aca="false">SUM(F11:I11)</f>
        <v>48480.1</v>
      </c>
      <c r="K11" s="12" t="n">
        <f aca="false">SUMIFS(Mensal!$N$5:$N$169,Mensal!$B$5:$B$169,$B11)</f>
        <v>6340812.611</v>
      </c>
      <c r="L11" s="12" t="n">
        <f aca="false">IFERROR(K11/J11,"")</f>
        <v>130.792069550187</v>
      </c>
      <c r="M11" s="13" t="n">
        <v>-5.615819</v>
      </c>
      <c r="N11" s="13" t="n">
        <v>-37.035712</v>
      </c>
      <c r="O11" s="9" t="s">
        <v>77</v>
      </c>
    </row>
    <row r="12" customFormat="false" ht="15" hidden="false" customHeight="false" outlineLevel="0" collapsed="false">
      <c r="A12" s="9" t="s">
        <v>78</v>
      </c>
      <c r="B12" s="9" t="s">
        <v>79</v>
      </c>
      <c r="C12" s="9" t="s">
        <v>56</v>
      </c>
      <c r="D12" s="9" t="s">
        <v>80</v>
      </c>
      <c r="E12" s="10" t="n">
        <v>40</v>
      </c>
      <c r="F12" s="11" t="n">
        <f aca="false">SUMIFS(Mensal!$F$5:$F$169,Mensal!$B$5:$B$169,$B12)</f>
        <v>1100.7</v>
      </c>
      <c r="G12" s="11" t="n">
        <f aca="false">SUMIFS(Mensal!$G$5:$G$169,Mensal!$B$5:$B$169,$B12)</f>
        <v>330.6</v>
      </c>
      <c r="H12" s="11" t="n">
        <f aca="false">SUMIFS(Mensal!$H$5:$H$169,Mensal!$B$5:$B$169,$B12)</f>
        <v>4518.2</v>
      </c>
      <c r="I12" s="11" t="n">
        <f aca="false">SUMIFS(Mensal!$I$5:$I$169,Mensal!$B$5:$B$169,$B12)</f>
        <v>0</v>
      </c>
      <c r="J12" s="11" t="n">
        <f aca="false">SUM(F12:I12)</f>
        <v>5949.5</v>
      </c>
      <c r="K12" s="12" t="n">
        <f aca="false">SUMIFS(Mensal!$N$5:$N$169,Mensal!$B$5:$B$169,$B12)</f>
        <v>802489.31</v>
      </c>
      <c r="L12" s="12" t="n">
        <f aca="false">IFERROR(K12/J12,"")</f>
        <v>134.883487688041</v>
      </c>
      <c r="M12" s="13" t="n">
        <v>-13.316116</v>
      </c>
      <c r="N12" s="13" t="n">
        <v>-43.46364</v>
      </c>
      <c r="O12" s="9" t="s">
        <v>70</v>
      </c>
    </row>
    <row r="13" customFormat="false" ht="15" hidden="false" customHeight="false" outlineLevel="0" collapsed="false">
      <c r="A13" s="9" t="s">
        <v>81</v>
      </c>
      <c r="B13" s="9" t="s">
        <v>82</v>
      </c>
      <c r="C13" s="9" t="s">
        <v>56</v>
      </c>
      <c r="D13" s="9" t="s">
        <v>80</v>
      </c>
      <c r="E13" s="10" t="n">
        <v>199.96</v>
      </c>
      <c r="F13" s="11" t="n">
        <f aca="false">SUMIFS(Mensal!$F$5:$F$169,Mensal!$B$5:$B$169,$B13)</f>
        <v>510.9</v>
      </c>
      <c r="G13" s="11" t="n">
        <f aca="false">SUMIFS(Mensal!$G$5:$G$169,Mensal!$B$5:$B$169,$B13)</f>
        <v>396.2</v>
      </c>
      <c r="H13" s="11" t="n">
        <f aca="false">SUMIFS(Mensal!$H$5:$H$169,Mensal!$B$5:$B$169,$B13)</f>
        <v>19292.4</v>
      </c>
      <c r="I13" s="11" t="n">
        <f aca="false">SUMIFS(Mensal!$I$5:$I$169,Mensal!$B$5:$B$169,$B13)</f>
        <v>0</v>
      </c>
      <c r="J13" s="11" t="n">
        <f aca="false">SUM(F13:I13)</f>
        <v>20199.5</v>
      </c>
      <c r="K13" s="12" t="n">
        <f aca="false">SUMIFS(Mensal!$N$5:$N$169,Mensal!$B$5:$B$169,$B13)</f>
        <v>2772128.835</v>
      </c>
      <c r="L13" s="12" t="n">
        <f aca="false">IFERROR(K13/J13,"")</f>
        <v>137.237497710339</v>
      </c>
      <c r="M13" s="13" t="n">
        <v>-11.0172</v>
      </c>
      <c r="N13" s="13" t="n">
        <v>-41.304</v>
      </c>
      <c r="O13" s="9" t="s">
        <v>83</v>
      </c>
    </row>
    <row r="14" customFormat="false" ht="15" hidden="false" customHeight="false" outlineLevel="0" collapsed="false">
      <c r="A14" s="9" t="s">
        <v>84</v>
      </c>
      <c r="B14" s="9" t="s">
        <v>85</v>
      </c>
      <c r="C14" s="9" t="s">
        <v>56</v>
      </c>
      <c r="D14" s="9" t="s">
        <v>80</v>
      </c>
      <c r="E14" s="10" t="n">
        <v>99.96</v>
      </c>
      <c r="F14" s="11" t="n">
        <f aca="false">SUMIFS(Mensal!$F$5:$F$169,Mensal!$B$5:$B$169,$B14)</f>
        <v>31.6</v>
      </c>
      <c r="G14" s="11" t="n">
        <f aca="false">SUMIFS(Mensal!$G$5:$G$169,Mensal!$B$5:$B$169,$B14)</f>
        <v>187.2</v>
      </c>
      <c r="H14" s="11" t="n">
        <f aca="false">SUMIFS(Mensal!$H$5:$H$169,Mensal!$B$5:$B$169,$B14)</f>
        <v>8788.4</v>
      </c>
      <c r="I14" s="11" t="n">
        <f aca="false">SUMIFS(Mensal!$I$5:$I$169,Mensal!$B$5:$B$169,$B14)</f>
        <v>0</v>
      </c>
      <c r="J14" s="11" t="n">
        <f aca="false">SUM(F14:I14)</f>
        <v>9007.2</v>
      </c>
      <c r="K14" s="12" t="n">
        <f aca="false">SUMIFS(Mensal!$N$5:$N$169,Mensal!$B$5:$B$169,$B14)</f>
        <v>1231545.637</v>
      </c>
      <c r="L14" s="12" t="n">
        <f aca="false">IFERROR(K14/J14,"")</f>
        <v>136.729020894396</v>
      </c>
      <c r="M14" s="13" t="n">
        <v>-11.119977</v>
      </c>
      <c r="N14" s="13" t="n">
        <v>-41.290773</v>
      </c>
      <c r="O14" s="9" t="s">
        <v>83</v>
      </c>
    </row>
    <row r="15" customFormat="false" ht="15" hidden="false" customHeight="false" outlineLevel="0" collapsed="false">
      <c r="A15" s="9" t="s">
        <v>86</v>
      </c>
      <c r="B15" s="9" t="s">
        <v>87</v>
      </c>
      <c r="C15" s="9" t="s">
        <v>56</v>
      </c>
      <c r="D15" s="9" t="s">
        <v>61</v>
      </c>
      <c r="E15" s="10" t="n">
        <v>230</v>
      </c>
      <c r="F15" s="11" t="n">
        <f aca="false">SUMIFS(Mensal!$F$5:$F$169,Mensal!$B$5:$B$169,$B15)</f>
        <v>2344.6</v>
      </c>
      <c r="G15" s="11" t="n">
        <f aca="false">SUMIFS(Mensal!$G$5:$G$169,Mensal!$B$5:$B$169,$B15)</f>
        <v>934.6</v>
      </c>
      <c r="H15" s="11" t="n">
        <f aca="false">SUMIFS(Mensal!$H$5:$H$169,Mensal!$B$5:$B$169,$B15)</f>
        <v>17927.8</v>
      </c>
      <c r="I15" s="11" t="n">
        <f aca="false">SUMIFS(Mensal!$I$5:$I$169,Mensal!$B$5:$B$169,$B15)</f>
        <v>0</v>
      </c>
      <c r="J15" s="11" t="n">
        <f aca="false">SUM(F15:I15)</f>
        <v>21207</v>
      </c>
      <c r="K15" s="12" t="n">
        <f aca="false">SUMIFS(Mensal!$N$5:$N$169,Mensal!$B$5:$B$169,$B15)</f>
        <v>2925068.86</v>
      </c>
      <c r="L15" s="12" t="n">
        <f aca="false">IFERROR(K15/J15,"")</f>
        <v>137.929403498845</v>
      </c>
      <c r="M15" s="13" t="n">
        <v>-5.3231</v>
      </c>
      <c r="N15" s="13" t="n">
        <v>-38.83</v>
      </c>
      <c r="O15" s="9" t="s">
        <v>88</v>
      </c>
    </row>
    <row r="16" customFormat="false" ht="15" hidden="false" customHeight="false" outlineLevel="0" collapsed="false">
      <c r="A16" s="9" t="s">
        <v>89</v>
      </c>
      <c r="B16" s="9" t="s">
        <v>90</v>
      </c>
      <c r="C16" s="9" t="s">
        <v>56</v>
      </c>
      <c r="D16" s="9" t="s">
        <v>80</v>
      </c>
      <c r="E16" s="10" t="n">
        <v>350</v>
      </c>
      <c r="F16" s="11" t="n">
        <f aca="false">SUMIFS(Mensal!$F$5:$F$169,Mensal!$B$5:$B$169,$B16)</f>
        <v>12250.2</v>
      </c>
      <c r="G16" s="11" t="n">
        <f aca="false">SUMIFS(Mensal!$G$5:$G$169,Mensal!$B$5:$B$169,$B16)</f>
        <v>0</v>
      </c>
      <c r="H16" s="11" t="n">
        <f aca="false">SUMIFS(Mensal!$H$5:$H$169,Mensal!$B$5:$B$169,$B16)</f>
        <v>48233.3</v>
      </c>
      <c r="I16" s="11" t="n">
        <f aca="false">SUMIFS(Mensal!$I$5:$I$169,Mensal!$B$5:$B$169,$B16)</f>
        <v>0</v>
      </c>
      <c r="J16" s="11" t="n">
        <f aca="false">SUM(F16:I16)</f>
        <v>60483.5</v>
      </c>
      <c r="K16" s="12" t="n">
        <f aca="false">SUMIFS(Mensal!$N$5:$N$169,Mensal!$B$5:$B$169,$B16)</f>
        <v>8118281.605</v>
      </c>
      <c r="L16" s="12" t="n">
        <f aca="false">IFERROR(K16/J16,"")</f>
        <v>134.223079104219</v>
      </c>
      <c r="M16" s="13" t="n">
        <v>-12.1716405622368</v>
      </c>
      <c r="N16" s="13" t="n">
        <v>-44.8082833839014</v>
      </c>
      <c r="O16" s="9" t="s">
        <v>91</v>
      </c>
    </row>
    <row r="17" customFormat="false" ht="15" hidden="false" customHeight="false" outlineLevel="0" collapsed="false">
      <c r="A17" s="9" t="s">
        <v>92</v>
      </c>
      <c r="B17" s="9" t="s">
        <v>93</v>
      </c>
      <c r="C17" s="9" t="s">
        <v>68</v>
      </c>
      <c r="D17" s="9" t="s">
        <v>94</v>
      </c>
      <c r="E17" s="10" t="n">
        <v>350.007</v>
      </c>
      <c r="F17" s="11" t="n">
        <f aca="false">SUMIFS(Mensal!$F$5:$F$169,Mensal!$B$5:$B$169,$B17)</f>
        <v>455.8</v>
      </c>
      <c r="G17" s="11" t="n">
        <f aca="false">SUMIFS(Mensal!$G$5:$G$169,Mensal!$B$5:$B$169,$B17)</f>
        <v>0</v>
      </c>
      <c r="H17" s="11" t="n">
        <f aca="false">SUMIFS(Mensal!$H$5:$H$169,Mensal!$B$5:$B$169,$B17)</f>
        <v>31998.6</v>
      </c>
      <c r="I17" s="11" t="n">
        <f aca="false">SUMIFS(Mensal!$I$5:$I$169,Mensal!$B$5:$B$169,$B17)</f>
        <v>0</v>
      </c>
      <c r="J17" s="11" t="n">
        <f aca="false">SUM(F17:I17)</f>
        <v>32454.4</v>
      </c>
      <c r="K17" s="12" t="n">
        <f aca="false">SUMIFS(Mensal!$N$5:$N$169,Mensal!$B$5:$B$169,$B17)</f>
        <v>4476877.64</v>
      </c>
      <c r="L17" s="12" t="n">
        <f aca="false">IFERROR(K17/J17,"")</f>
        <v>137.943626750148</v>
      </c>
      <c r="M17" s="13" t="n">
        <v>-15.08888611111</v>
      </c>
      <c r="N17" s="13" t="n">
        <v>-48.822075</v>
      </c>
      <c r="O17" s="9" t="s">
        <v>62</v>
      </c>
    </row>
    <row r="18" customFormat="false" ht="15" hidden="false" customHeight="false" outlineLevel="0" collapsed="false">
      <c r="A18" s="9" t="s">
        <v>95</v>
      </c>
      <c r="B18" s="9" t="s">
        <v>96</v>
      </c>
      <c r="C18" s="9" t="s">
        <v>56</v>
      </c>
      <c r="D18" s="9" t="s">
        <v>97</v>
      </c>
      <c r="E18" s="10" t="n">
        <v>455.001</v>
      </c>
      <c r="F18" s="11" t="n">
        <f aca="false">SUMIFS(Mensal!$F$5:$F$169,Mensal!$B$5:$B$169,$B18)</f>
        <v>835.5</v>
      </c>
      <c r="G18" s="11" t="n">
        <f aca="false">SUMIFS(Mensal!$G$5:$G$169,Mensal!$B$5:$B$169,$B18)</f>
        <v>0</v>
      </c>
      <c r="H18" s="11" t="n">
        <f aca="false">SUMIFS(Mensal!$H$5:$H$169,Mensal!$B$5:$B$169,$B18)</f>
        <v>30861.7</v>
      </c>
      <c r="I18" s="11" t="n">
        <f aca="false">SUMIFS(Mensal!$I$5:$I$169,Mensal!$B$5:$B$169,$B18)</f>
        <v>0</v>
      </c>
      <c r="J18" s="11" t="n">
        <f aca="false">SUM(F18:I18)</f>
        <v>31697.2</v>
      </c>
      <c r="K18" s="12" t="n">
        <f aca="false">SUMIFS(Mensal!$N$5:$N$169,Mensal!$B$5:$B$169,$B18)</f>
        <v>4439743.987</v>
      </c>
      <c r="L18" s="12" t="n">
        <f aca="false">IFERROR(K18/J18,"")</f>
        <v>140.067387245561</v>
      </c>
      <c r="M18" s="13" t="n">
        <v>-7.870061</v>
      </c>
      <c r="N18" s="13" t="n">
        <v>-38.83471</v>
      </c>
      <c r="O18" s="9" t="s">
        <v>98</v>
      </c>
    </row>
    <row r="19" customFormat="false" ht="15" hidden="false" customHeight="false" outlineLevel="0" collapsed="false">
      <c r="A19" s="9" t="s">
        <v>99</v>
      </c>
      <c r="B19" s="9" t="s">
        <v>100</v>
      </c>
      <c r="C19" s="9" t="s">
        <v>68</v>
      </c>
      <c r="D19" s="9" t="s">
        <v>101</v>
      </c>
      <c r="E19" s="10" t="n">
        <v>178.33</v>
      </c>
      <c r="F19" s="11" t="n">
        <f aca="false">SUMIFS(Mensal!$F$5:$F$169,Mensal!$B$5:$B$169,$B19)</f>
        <v>0</v>
      </c>
      <c r="G19" s="11" t="n">
        <f aca="false">SUMIFS(Mensal!$G$5:$G$169,Mensal!$B$5:$B$169,$B19)</f>
        <v>0</v>
      </c>
      <c r="H19" s="11" t="n">
        <f aca="false">SUMIFS(Mensal!$H$5:$H$169,Mensal!$B$5:$B$169,$B19)</f>
        <v>17060.7</v>
      </c>
      <c r="I19" s="11" t="n">
        <f aca="false">SUMIFS(Mensal!$I$5:$I$169,Mensal!$B$5:$B$169,$B19)</f>
        <v>0</v>
      </c>
      <c r="J19" s="11" t="n">
        <f aca="false">SUM(F19:I19)</f>
        <v>17060.7</v>
      </c>
      <c r="K19" s="12" t="n">
        <f aca="false">SUMIFS(Mensal!$N$5:$N$169,Mensal!$B$5:$B$169,$B19)</f>
        <v>2327188.2</v>
      </c>
      <c r="L19" s="12" t="n">
        <f aca="false">IFERROR(K19/J19,"")</f>
        <v>136.4063725404</v>
      </c>
      <c r="M19" s="13" t="n">
        <v>-19.881624</v>
      </c>
      <c r="N19" s="13" t="n">
        <v>-50.39703</v>
      </c>
      <c r="O19" s="9" t="s">
        <v>102</v>
      </c>
    </row>
    <row r="20" customFormat="false" ht="15" hidden="false" customHeight="false" outlineLevel="0" collapsed="false">
      <c r="A20" s="9" t="s">
        <v>103</v>
      </c>
      <c r="B20" s="9" t="s">
        <v>104</v>
      </c>
      <c r="C20" s="9" t="s">
        <v>68</v>
      </c>
      <c r="D20" s="9" t="s">
        <v>69</v>
      </c>
      <c r="E20" s="10"/>
      <c r="F20" s="11" t="n">
        <f aca="false">SUMIFS(Mensal!$F$5:$F$169,Mensal!$B$5:$B$169,$B20)</f>
        <v>0</v>
      </c>
      <c r="G20" s="11" t="n">
        <f aca="false">SUMIFS(Mensal!$G$5:$G$169,Mensal!$B$5:$B$169,$B20)</f>
        <v>0</v>
      </c>
      <c r="H20" s="11" t="n">
        <f aca="false">SUMIFS(Mensal!$H$5:$H$169,Mensal!$B$5:$B$169,$B20)</f>
        <v>30682.8</v>
      </c>
      <c r="I20" s="11" t="n">
        <f aca="false">SUMIFS(Mensal!$I$5:$I$169,Mensal!$B$5:$B$169,$B20)</f>
        <v>0</v>
      </c>
      <c r="J20" s="11" t="n">
        <f aca="false">SUM(F20:I20)</f>
        <v>30682.8</v>
      </c>
      <c r="K20" s="12" t="n">
        <f aca="false">SUMIFS(Mensal!$N$5:$N$169,Mensal!$B$5:$B$169,$B20)</f>
        <v>3966058.728</v>
      </c>
      <c r="L20" s="12" t="n">
        <f aca="false">IFERROR(K20/J20,"")</f>
        <v>129.26</v>
      </c>
      <c r="M20" s="13"/>
      <c r="N20" s="13"/>
      <c r="O20" s="9" t="s">
        <v>105</v>
      </c>
    </row>
    <row r="21" customFormat="false" ht="15" hidden="false" customHeight="false" outlineLevel="0" collapsed="false">
      <c r="A21" s="9" t="s">
        <v>106</v>
      </c>
      <c r="B21" s="9" t="s">
        <v>107</v>
      </c>
      <c r="C21" s="9" t="s">
        <v>56</v>
      </c>
      <c r="D21" s="9" t="s">
        <v>80</v>
      </c>
      <c r="E21" s="10" t="n">
        <v>60</v>
      </c>
      <c r="F21" s="11" t="n">
        <f aca="false">SUMIFS(Mensal!$F$5:$F$169,Mensal!$B$5:$B$169,$B21)</f>
        <v>1617.6</v>
      </c>
      <c r="G21" s="11" t="n">
        <f aca="false">SUMIFS(Mensal!$G$5:$G$169,Mensal!$B$5:$B$169,$B21)</f>
        <v>357</v>
      </c>
      <c r="H21" s="11" t="n">
        <f aca="false">SUMIFS(Mensal!$H$5:$H$169,Mensal!$B$5:$B$169,$B21)</f>
        <v>6305.8</v>
      </c>
      <c r="I21" s="11" t="n">
        <f aca="false">SUMIFS(Mensal!$I$5:$I$169,Mensal!$B$5:$B$169,$B21)</f>
        <v>0</v>
      </c>
      <c r="J21" s="11" t="n">
        <f aca="false">SUM(F21:I21)</f>
        <v>8280.4</v>
      </c>
      <c r="K21" s="12" t="n">
        <f aca="false">SUMIFS(Mensal!$N$5:$N$169,Mensal!$B$5:$B$169,$B21)</f>
        <v>1107378.664</v>
      </c>
      <c r="L21" s="12" t="n">
        <f aca="false">IFERROR(K21/J21,"")</f>
        <v>133.734923916719</v>
      </c>
      <c r="M21" s="13" t="n">
        <v>-13.299456</v>
      </c>
      <c r="N21" s="13" t="n">
        <v>-43.33305</v>
      </c>
      <c r="O21" s="9" t="s">
        <v>108</v>
      </c>
    </row>
    <row r="22" customFormat="false" ht="15" hidden="false" customHeight="false" outlineLevel="0" collapsed="false">
      <c r="A22" s="9" t="s">
        <v>109</v>
      </c>
      <c r="B22" s="9" t="s">
        <v>110</v>
      </c>
      <c r="C22" s="9" t="s">
        <v>56</v>
      </c>
      <c r="D22" s="9" t="s">
        <v>97</v>
      </c>
      <c r="E22" s="10" t="n">
        <v>83.914</v>
      </c>
      <c r="F22" s="11" t="n">
        <f aca="false">SUMIFS(Mensal!$F$5:$F$169,Mensal!$B$5:$B$169,$B22)</f>
        <v>260.1</v>
      </c>
      <c r="G22" s="11" t="n">
        <f aca="false">SUMIFS(Mensal!$G$5:$G$169,Mensal!$B$5:$B$169,$B22)</f>
        <v>0</v>
      </c>
      <c r="H22" s="11" t="n">
        <f aca="false">SUMIFS(Mensal!$H$5:$H$169,Mensal!$B$5:$B$169,$B22)</f>
        <v>7818.1</v>
      </c>
      <c r="I22" s="11" t="n">
        <f aca="false">SUMIFS(Mensal!$I$5:$I$169,Mensal!$B$5:$B$169,$B22)</f>
        <v>0</v>
      </c>
      <c r="J22" s="11" t="n">
        <f aca="false">SUM(F22:I22)</f>
        <v>8078.2</v>
      </c>
      <c r="K22" s="12" t="n">
        <f aca="false">SUMIFS(Mensal!$N$5:$N$169,Mensal!$B$5:$B$169,$B22)</f>
        <v>1132933.487</v>
      </c>
      <c r="L22" s="12" t="n">
        <f aca="false">IFERROR(K22/J22,"")</f>
        <v>140.245783342824</v>
      </c>
      <c r="M22" s="13" t="n">
        <v>-7.8725076</v>
      </c>
      <c r="N22" s="13" t="n">
        <v>-37.9791102</v>
      </c>
      <c r="O22" s="9" t="s">
        <v>62</v>
      </c>
    </row>
    <row r="23" customFormat="false" ht="15" hidden="false" customHeight="false" outlineLevel="0" collapsed="false">
      <c r="A23" s="9" t="s">
        <v>111</v>
      </c>
      <c r="B23" s="9" t="s">
        <v>112</v>
      </c>
      <c r="C23" s="9" t="s">
        <v>56</v>
      </c>
      <c r="D23" s="9" t="s">
        <v>97</v>
      </c>
      <c r="E23" s="10" t="n">
        <v>163</v>
      </c>
      <c r="F23" s="11" t="n">
        <f aca="false">SUMIFS(Mensal!$F$5:$F$169,Mensal!$B$5:$B$169,$B23)</f>
        <v>336.8</v>
      </c>
      <c r="G23" s="11" t="n">
        <f aca="false">SUMIFS(Mensal!$G$5:$G$169,Mensal!$B$5:$B$169,$B23)</f>
        <v>0</v>
      </c>
      <c r="H23" s="11" t="n">
        <f aca="false">SUMIFS(Mensal!$H$5:$H$169,Mensal!$B$5:$B$169,$B23)</f>
        <v>12871.3</v>
      </c>
      <c r="I23" s="11" t="n">
        <f aca="false">SUMIFS(Mensal!$I$5:$I$169,Mensal!$B$5:$B$169,$B23)</f>
        <v>0</v>
      </c>
      <c r="J23" s="11" t="n">
        <f aca="false">SUM(F23:I23)</f>
        <v>13208.1</v>
      </c>
      <c r="K23" s="12" t="n">
        <f aca="false">SUMIFS(Mensal!$N$5:$N$169,Mensal!$B$5:$B$169,$B23)</f>
        <v>1823750.271</v>
      </c>
      <c r="L23" s="12" t="n">
        <f aca="false">IFERROR(K23/J23,"")</f>
        <v>138.078169532332</v>
      </c>
      <c r="M23" s="13" t="n">
        <v>-8.565919</v>
      </c>
      <c r="N23" s="13" t="n">
        <v>-39.591642</v>
      </c>
      <c r="O23" s="9" t="s">
        <v>105</v>
      </c>
    </row>
    <row r="24" customFormat="false" ht="15" hidden="false" customHeight="false" outlineLevel="0" collapsed="false">
      <c r="A24" s="9" t="s">
        <v>113</v>
      </c>
      <c r="B24" s="9" t="s">
        <v>114</v>
      </c>
      <c r="C24" s="9" t="s">
        <v>56</v>
      </c>
      <c r="D24" s="9" t="s">
        <v>61</v>
      </c>
      <c r="E24" s="10" t="n">
        <v>132</v>
      </c>
      <c r="F24" s="11" t="n">
        <f aca="false">SUMIFS(Mensal!$F$5:$F$169,Mensal!$B$5:$B$169,$B24)</f>
        <v>1280.7</v>
      </c>
      <c r="G24" s="11" t="n">
        <f aca="false">SUMIFS(Mensal!$G$5:$G$169,Mensal!$B$5:$B$169,$B24)</f>
        <v>99</v>
      </c>
      <c r="H24" s="11" t="n">
        <f aca="false">SUMIFS(Mensal!$H$5:$H$169,Mensal!$B$5:$B$169,$B24)</f>
        <v>7358.2</v>
      </c>
      <c r="I24" s="11" t="n">
        <f aca="false">SUMIFS(Mensal!$I$5:$I$169,Mensal!$B$5:$B$169,$B24)</f>
        <v>0</v>
      </c>
      <c r="J24" s="11" t="n">
        <f aca="false">SUM(F24:I24)</f>
        <v>8737.9</v>
      </c>
      <c r="K24" s="12" t="n">
        <f aca="false">SUMIFS(Mensal!$N$5:$N$169,Mensal!$B$5:$B$169,$B24)</f>
        <v>1191388.779</v>
      </c>
      <c r="L24" s="12" t="n">
        <f aca="false">IFERROR(K24/J24,"")</f>
        <v>136.347266391238</v>
      </c>
      <c r="M24" s="13" t="n">
        <v>-5.0347</v>
      </c>
      <c r="N24" s="13" t="n">
        <v>-37.785</v>
      </c>
      <c r="O24" s="9" t="s">
        <v>77</v>
      </c>
    </row>
    <row r="25" customFormat="false" ht="15" hidden="false" customHeight="false" outlineLevel="0" collapsed="false">
      <c r="A25" s="9" t="s">
        <v>115</v>
      </c>
      <c r="B25" s="9" t="s">
        <v>116</v>
      </c>
      <c r="C25" s="9" t="s">
        <v>68</v>
      </c>
      <c r="D25" s="9" t="s">
        <v>101</v>
      </c>
      <c r="E25" s="10" t="n">
        <v>205.04</v>
      </c>
      <c r="F25" s="11" t="n">
        <f aca="false">SUMIFS(Mensal!$F$5:$F$169,Mensal!$B$5:$B$169,$B25)</f>
        <v>0</v>
      </c>
      <c r="G25" s="11" t="n">
        <f aca="false">SUMIFS(Mensal!$G$5:$G$169,Mensal!$B$5:$B$169,$B25)</f>
        <v>0</v>
      </c>
      <c r="H25" s="11" t="n">
        <f aca="false">SUMIFS(Mensal!$H$5:$H$169,Mensal!$B$5:$B$169,$B25)</f>
        <v>17423.6</v>
      </c>
      <c r="I25" s="11" t="n">
        <f aca="false">SUMIFS(Mensal!$I$5:$I$169,Mensal!$B$5:$B$169,$B25)</f>
        <v>0</v>
      </c>
      <c r="J25" s="11" t="n">
        <f aca="false">SUM(F25:I25)</f>
        <v>17423.6</v>
      </c>
      <c r="K25" s="12" t="n">
        <f aca="false">SUMIFS(Mensal!$N$5:$N$169,Mensal!$B$5:$B$169,$B25)</f>
        <v>2359937.476</v>
      </c>
      <c r="L25" s="12" t="n">
        <f aca="false">IFERROR(K25/J25,"")</f>
        <v>135.44488372093</v>
      </c>
      <c r="M25" s="13" t="n">
        <v>-20.79044389</v>
      </c>
      <c r="N25" s="13" t="n">
        <v>-51.52926611</v>
      </c>
      <c r="O25" s="9" t="s">
        <v>117</v>
      </c>
    </row>
    <row r="26" customFormat="false" ht="15" hidden="false" customHeight="false" outlineLevel="0" collapsed="false">
      <c r="A26" s="9" t="s">
        <v>118</v>
      </c>
      <c r="B26" s="9" t="s">
        <v>119</v>
      </c>
      <c r="C26" s="9" t="s">
        <v>56</v>
      </c>
      <c r="D26" s="9" t="s">
        <v>97</v>
      </c>
      <c r="E26" s="10" t="n">
        <v>244.5</v>
      </c>
      <c r="F26" s="11" t="n">
        <f aca="false">SUMIFS(Mensal!$F$5:$F$169,Mensal!$B$5:$B$169,$B26)</f>
        <v>475.1</v>
      </c>
      <c r="G26" s="11" t="n">
        <f aca="false">SUMIFS(Mensal!$G$5:$G$169,Mensal!$B$5:$B$169,$B26)</f>
        <v>0</v>
      </c>
      <c r="H26" s="11" t="n">
        <f aca="false">SUMIFS(Mensal!$H$5:$H$169,Mensal!$B$5:$B$169,$B26)</f>
        <v>14138.6</v>
      </c>
      <c r="I26" s="11" t="n">
        <f aca="false">SUMIFS(Mensal!$I$5:$I$169,Mensal!$B$5:$B$169,$B26)</f>
        <v>0</v>
      </c>
      <c r="J26" s="11" t="n">
        <f aca="false">SUM(F26:I26)</f>
        <v>14613.7</v>
      </c>
      <c r="K26" s="12" t="n">
        <f aca="false">SUMIFS(Mensal!$N$5:$N$169,Mensal!$B$5:$B$169,$B26)</f>
        <v>2041752.692</v>
      </c>
      <c r="L26" s="12" t="n">
        <f aca="false">IFERROR(K26/J26,"")</f>
        <v>139.714972388923</v>
      </c>
      <c r="M26" s="13" t="n">
        <v>-7.963652</v>
      </c>
      <c r="N26" s="13" t="n">
        <v>-38.627376</v>
      </c>
      <c r="O26" s="9" t="s">
        <v>70</v>
      </c>
    </row>
    <row r="27" customFormat="false" ht="15" hidden="false" customHeight="false" outlineLevel="0" collapsed="false">
      <c r="A27" s="9" t="s">
        <v>120</v>
      </c>
      <c r="B27" s="9" t="s">
        <v>121</v>
      </c>
      <c r="C27" s="9" t="s">
        <v>68</v>
      </c>
      <c r="D27" s="9" t="s">
        <v>101</v>
      </c>
      <c r="E27" s="10" t="n">
        <v>81</v>
      </c>
      <c r="F27" s="11" t="n">
        <f aca="false">SUMIFS(Mensal!$F$5:$F$169,Mensal!$B$5:$B$169,$B27)</f>
        <v>0</v>
      </c>
      <c r="G27" s="11" t="n">
        <f aca="false">SUMIFS(Mensal!$G$5:$G$169,Mensal!$B$5:$B$169,$B27)</f>
        <v>0</v>
      </c>
      <c r="H27" s="11" t="n">
        <f aca="false">SUMIFS(Mensal!$H$5:$H$169,Mensal!$B$5:$B$169,$B27)</f>
        <v>7414.8</v>
      </c>
      <c r="I27" s="11" t="n">
        <f aca="false">SUMIFS(Mensal!$I$5:$I$169,Mensal!$B$5:$B$169,$B27)</f>
        <v>0</v>
      </c>
      <c r="J27" s="11" t="n">
        <f aca="false">SUM(F27:I27)</f>
        <v>7414.8</v>
      </c>
      <c r="K27" s="12" t="n">
        <f aca="false">SUMIFS(Mensal!$N$5:$N$169,Mensal!$B$5:$B$169,$B27)</f>
        <v>994648.8</v>
      </c>
      <c r="L27" s="12" t="n">
        <f aca="false">IFERROR(K27/J27,"")</f>
        <v>134.14371257485</v>
      </c>
      <c r="M27" s="13" t="n">
        <v>-21.450214</v>
      </c>
      <c r="N27" s="13" t="n">
        <v>-51.587776</v>
      </c>
      <c r="O27" s="9" t="s">
        <v>117</v>
      </c>
    </row>
    <row r="28" customFormat="false" ht="15" hidden="false" customHeight="false" outlineLevel="0" collapsed="false">
      <c r="A28" s="9" t="s">
        <v>122</v>
      </c>
      <c r="B28" s="9" t="s">
        <v>123</v>
      </c>
      <c r="C28" s="9" t="s">
        <v>68</v>
      </c>
      <c r="D28" s="9" t="s">
        <v>69</v>
      </c>
      <c r="E28" s="10" t="n">
        <v>505.243</v>
      </c>
      <c r="F28" s="11" t="n">
        <f aca="false">SUMIFS(Mensal!$F$5:$F$169,Mensal!$B$5:$B$169,$B28)</f>
        <v>63.2</v>
      </c>
      <c r="G28" s="11" t="n">
        <f aca="false">SUMIFS(Mensal!$G$5:$G$169,Mensal!$B$5:$B$169,$B28)</f>
        <v>0</v>
      </c>
      <c r="H28" s="11" t="n">
        <f aca="false">SUMIFS(Mensal!$H$5:$H$169,Mensal!$B$5:$B$169,$B28)</f>
        <v>47891.7</v>
      </c>
      <c r="I28" s="11" t="n">
        <f aca="false">SUMIFS(Mensal!$I$5:$I$169,Mensal!$B$5:$B$169,$B28)</f>
        <v>0</v>
      </c>
      <c r="J28" s="11" t="n">
        <f aca="false">SUM(F28:I28)</f>
        <v>47954.9</v>
      </c>
      <c r="K28" s="12" t="n">
        <f aca="false">SUMIFS(Mensal!$N$5:$N$169,Mensal!$B$5:$B$169,$B28)</f>
        <v>6646542.088</v>
      </c>
      <c r="L28" s="12" t="n">
        <f aca="false">IFERROR(K28/J28,"")</f>
        <v>138.599852945163</v>
      </c>
      <c r="M28" s="13"/>
      <c r="N28" s="13"/>
      <c r="O28" s="9" t="s">
        <v>62</v>
      </c>
    </row>
    <row r="29" customFormat="false" ht="15" hidden="false" customHeight="false" outlineLevel="0" collapsed="false">
      <c r="A29" s="9" t="s">
        <v>124</v>
      </c>
      <c r="B29" s="9" t="s">
        <v>125</v>
      </c>
      <c r="C29" s="9" t="s">
        <v>56</v>
      </c>
      <c r="D29" s="9" t="s">
        <v>57</v>
      </c>
      <c r="E29" s="10" t="n">
        <v>86</v>
      </c>
      <c r="F29" s="11" t="n">
        <f aca="false">SUMIFS(Mensal!$F$5:$F$169,Mensal!$B$5:$B$169,$B29)</f>
        <v>281.1</v>
      </c>
      <c r="G29" s="11" t="n">
        <f aca="false">SUMIFS(Mensal!$G$5:$G$169,Mensal!$B$5:$B$169,$B29)</f>
        <v>16.8</v>
      </c>
      <c r="H29" s="11" t="n">
        <f aca="false">SUMIFS(Mensal!$H$5:$H$169,Mensal!$B$5:$B$169,$B29)</f>
        <v>2735.3</v>
      </c>
      <c r="I29" s="11" t="n">
        <f aca="false">SUMIFS(Mensal!$I$5:$I$169,Mensal!$B$5:$B$169,$B29)</f>
        <v>0</v>
      </c>
      <c r="J29" s="11" t="n">
        <f aca="false">SUM(F29:I29)</f>
        <v>3033.2</v>
      </c>
      <c r="K29" s="12" t="n">
        <f aca="false">SUMIFS(Mensal!$N$5:$N$169,Mensal!$B$5:$B$169,$B29)</f>
        <v>414299.592</v>
      </c>
      <c r="L29" s="12" t="n">
        <f aca="false">IFERROR(K29/J29,"")</f>
        <v>136.588286957668</v>
      </c>
      <c r="M29" s="13" t="n">
        <v>-4.963689</v>
      </c>
      <c r="N29" s="13" t="n">
        <v>-36.916961</v>
      </c>
      <c r="O29" s="9" t="s">
        <v>102</v>
      </c>
    </row>
    <row r="30" customFormat="false" ht="15" hidden="false" customHeight="false" outlineLevel="0" collapsed="false">
      <c r="A30" s="9" t="s">
        <v>126</v>
      </c>
      <c r="B30" s="9" t="s">
        <v>127</v>
      </c>
      <c r="C30" s="9" t="s">
        <v>56</v>
      </c>
      <c r="D30" s="9" t="s">
        <v>80</v>
      </c>
      <c r="E30" s="10" t="n">
        <v>65</v>
      </c>
      <c r="F30" s="11" t="n">
        <f aca="false">SUMIFS(Mensal!$F$5:$F$169,Mensal!$B$5:$B$169,$B30)</f>
        <v>183.8</v>
      </c>
      <c r="G30" s="11" t="n">
        <f aca="false">SUMIFS(Mensal!$G$5:$G$169,Mensal!$B$5:$B$169,$B30)</f>
        <v>0</v>
      </c>
      <c r="H30" s="11" t="n">
        <f aca="false">SUMIFS(Mensal!$H$5:$H$169,Mensal!$B$5:$B$169,$B30)</f>
        <v>1531.1</v>
      </c>
      <c r="I30" s="11" t="n">
        <f aca="false">SUMIFS(Mensal!$I$5:$I$169,Mensal!$B$5:$B$169,$B30)</f>
        <v>0</v>
      </c>
      <c r="J30" s="11" t="n">
        <f aca="false">SUM(F30:I30)</f>
        <v>1714.9</v>
      </c>
      <c r="K30" s="12" t="n">
        <f aca="false">SUMIFS(Mensal!$N$5:$N$169,Mensal!$B$5:$B$169,$B30)</f>
        <v>234432.149</v>
      </c>
      <c r="L30" s="12" t="n">
        <f aca="false">IFERROR(K30/J30,"")</f>
        <v>136.703101638579</v>
      </c>
      <c r="M30" s="13" t="n">
        <v>-12.3083601667314</v>
      </c>
      <c r="N30" s="13" t="n">
        <v>-42.3432678584816</v>
      </c>
      <c r="O30" s="9" t="s">
        <v>128</v>
      </c>
    </row>
    <row r="31" customFormat="false" ht="15" hidden="false" customHeight="false" outlineLevel="0" collapsed="false">
      <c r="A31" s="9" t="s">
        <v>129</v>
      </c>
      <c r="B31" s="9" t="s">
        <v>130</v>
      </c>
      <c r="C31" s="9" t="s">
        <v>68</v>
      </c>
      <c r="D31" s="9" t="s">
        <v>69</v>
      </c>
      <c r="E31" s="10" t="n">
        <v>99</v>
      </c>
      <c r="F31" s="11" t="n">
        <f aca="false">SUMIFS(Mensal!$F$5:$F$169,Mensal!$B$5:$B$169,$B31)</f>
        <v>1171.6</v>
      </c>
      <c r="G31" s="11" t="n">
        <f aca="false">SUMIFS(Mensal!$G$5:$G$169,Mensal!$B$5:$B$169,$B31)</f>
        <v>0</v>
      </c>
      <c r="H31" s="11" t="n">
        <f aca="false">SUMIFS(Mensal!$H$5:$H$169,Mensal!$B$5:$B$169,$B31)</f>
        <v>7662.9</v>
      </c>
      <c r="I31" s="11" t="n">
        <f aca="false">SUMIFS(Mensal!$I$5:$I$169,Mensal!$B$5:$B$169,$B31)</f>
        <v>0</v>
      </c>
      <c r="J31" s="11" t="n">
        <f aca="false">SUM(F31:I31)</f>
        <v>8834.5</v>
      </c>
      <c r="K31" s="12" t="n">
        <f aca="false">SUMIFS(Mensal!$N$5:$N$169,Mensal!$B$5:$B$169,$B31)</f>
        <v>1211041.28</v>
      </c>
      <c r="L31" s="12" t="n">
        <f aca="false">IFERROR(K31/J31,"")</f>
        <v>137.08090780463</v>
      </c>
      <c r="M31" s="13" t="n">
        <v>-16.2937</v>
      </c>
      <c r="N31" s="13" t="n">
        <v>-43.6646</v>
      </c>
      <c r="O31" s="9" t="s">
        <v>131</v>
      </c>
    </row>
    <row r="32" customFormat="false" ht="15" hidden="false" customHeight="false" outlineLevel="0" collapsed="false">
      <c r="A32" s="9" t="s">
        <v>132</v>
      </c>
      <c r="B32" s="9" t="s">
        <v>133</v>
      </c>
      <c r="C32" s="9" t="s">
        <v>56</v>
      </c>
      <c r="D32" s="9" t="s">
        <v>80</v>
      </c>
      <c r="E32" s="10" t="n">
        <v>692.446</v>
      </c>
      <c r="F32" s="11" t="n">
        <f aca="false">SUMIFS(Mensal!$F$5:$F$169,Mensal!$B$5:$B$169,$B32)</f>
        <v>2961.1</v>
      </c>
      <c r="G32" s="11" t="n">
        <f aca="false">SUMIFS(Mensal!$G$5:$G$169,Mensal!$B$5:$B$169,$B32)</f>
        <v>805</v>
      </c>
      <c r="H32" s="11" t="n">
        <f aca="false">SUMIFS(Mensal!$H$5:$H$169,Mensal!$B$5:$B$169,$B32)</f>
        <v>47309.8</v>
      </c>
      <c r="I32" s="11" t="n">
        <f aca="false">SUMIFS(Mensal!$I$5:$I$169,Mensal!$B$5:$B$169,$B32)</f>
        <v>0</v>
      </c>
      <c r="J32" s="11" t="n">
        <f aca="false">SUM(F32:I32)</f>
        <v>51075.9</v>
      </c>
      <c r="K32" s="12" t="n">
        <f aca="false">SUMIFS(Mensal!$N$5:$N$169,Mensal!$B$5:$B$169,$B32)</f>
        <v>7053718.434</v>
      </c>
      <c r="L32" s="12" t="n">
        <f aca="false">IFERROR(K32/J32,"")</f>
        <v>138.102675312623</v>
      </c>
      <c r="M32" s="13" t="n">
        <v>-9.660782</v>
      </c>
      <c r="N32" s="13" t="n">
        <v>-40.686021</v>
      </c>
      <c r="O32" s="9" t="s">
        <v>134</v>
      </c>
    </row>
    <row r="33" customFormat="false" ht="15" hidden="false" customHeight="false" outlineLevel="0" collapsed="false">
      <c r="A33" s="9" t="s">
        <v>135</v>
      </c>
      <c r="B33" s="9" t="s">
        <v>136</v>
      </c>
      <c r="C33" s="9" t="s">
        <v>56</v>
      </c>
      <c r="D33" s="9" t="s">
        <v>137</v>
      </c>
      <c r="E33" s="10" t="n">
        <v>790.885</v>
      </c>
      <c r="F33" s="11" t="n">
        <f aca="false">SUMIFS(Mensal!$F$5:$F$169,Mensal!$B$5:$B$169,$B33)</f>
        <v>6533.1</v>
      </c>
      <c r="G33" s="11" t="n">
        <f aca="false">SUMIFS(Mensal!$G$5:$G$169,Mensal!$B$5:$B$169,$B33)</f>
        <v>0</v>
      </c>
      <c r="H33" s="11" t="n">
        <f aca="false">SUMIFS(Mensal!$H$5:$H$169,Mensal!$B$5:$B$169,$B33)</f>
        <v>62350.9</v>
      </c>
      <c r="I33" s="11" t="n">
        <f aca="false">SUMIFS(Mensal!$I$5:$I$169,Mensal!$B$5:$B$169,$B33)</f>
        <v>0</v>
      </c>
      <c r="J33" s="11" t="n">
        <f aca="false">SUM(F33:I33)</f>
        <v>68884</v>
      </c>
      <c r="K33" s="12" t="n">
        <f aca="false">SUMIFS(Mensal!$N$5:$N$169,Mensal!$B$5:$B$169,$B33)</f>
        <v>9469197.57</v>
      </c>
      <c r="L33" s="12" t="n">
        <f aca="false">IFERROR(K33/J33,"")</f>
        <v>137.46584939899</v>
      </c>
      <c r="M33" s="13" t="n">
        <v>-10.103855</v>
      </c>
      <c r="N33" s="13" t="n">
        <v>-45.282352</v>
      </c>
      <c r="O33" s="9" t="s">
        <v>138</v>
      </c>
    </row>
    <row r="34" customFormat="false" ht="15" hidden="false" customHeight="false" outlineLevel="0" collapsed="false">
      <c r="A34" s="9" t="s">
        <v>139</v>
      </c>
      <c r="B34" s="9" t="s">
        <v>140</v>
      </c>
      <c r="C34" s="9" t="s">
        <v>68</v>
      </c>
      <c r="D34" s="9" t="s">
        <v>101</v>
      </c>
      <c r="E34" s="10" t="n">
        <v>150.04</v>
      </c>
      <c r="F34" s="11" t="n">
        <f aca="false">SUMIFS(Mensal!$F$5:$F$169,Mensal!$B$5:$B$169,$B34)</f>
        <v>0</v>
      </c>
      <c r="G34" s="11" t="n">
        <f aca="false">SUMIFS(Mensal!$G$5:$G$169,Mensal!$B$5:$B$169,$B34)</f>
        <v>0</v>
      </c>
      <c r="H34" s="11" t="n">
        <f aca="false">SUMIFS(Mensal!$H$5:$H$169,Mensal!$B$5:$B$169,$B34)</f>
        <v>9697.8</v>
      </c>
      <c r="I34" s="11" t="n">
        <f aca="false">SUMIFS(Mensal!$I$5:$I$169,Mensal!$B$5:$B$169,$B34)</f>
        <v>0</v>
      </c>
      <c r="J34" s="11" t="n">
        <f aca="false">SUM(F34:I34)</f>
        <v>9697.8</v>
      </c>
      <c r="K34" s="12" t="n">
        <f aca="false">SUMIFS(Mensal!$N$5:$N$169,Mensal!$B$5:$B$169,$B34)</f>
        <v>1290770.628</v>
      </c>
      <c r="L34" s="12" t="n">
        <f aca="false">IFERROR(K34/J34,"")</f>
        <v>133.09932438285</v>
      </c>
      <c r="M34" s="13" t="n">
        <v>-21.893809</v>
      </c>
      <c r="N34" s="13" t="n">
        <v>-49.863684</v>
      </c>
      <c r="O34" s="9" t="s">
        <v>102</v>
      </c>
    </row>
    <row r="35" customFormat="false" ht="15" hidden="false" customHeight="false" outlineLevel="0" collapsed="false">
      <c r="A35" s="9" t="s">
        <v>141</v>
      </c>
      <c r="B35" s="9" t="s">
        <v>142</v>
      </c>
      <c r="C35" s="9" t="s">
        <v>68</v>
      </c>
      <c r="D35" s="9" t="s">
        <v>69</v>
      </c>
      <c r="E35" s="10" t="n">
        <v>500</v>
      </c>
      <c r="F35" s="11" t="n">
        <f aca="false">SUMIFS(Mensal!$F$5:$F$169,Mensal!$B$5:$B$169,$B35)</f>
        <v>0</v>
      </c>
      <c r="G35" s="11" t="n">
        <f aca="false">SUMIFS(Mensal!$G$5:$G$169,Mensal!$B$5:$B$169,$B35)</f>
        <v>0</v>
      </c>
      <c r="H35" s="11" t="n">
        <f aca="false">SUMIFS(Mensal!$H$5:$H$169,Mensal!$B$5:$B$169,$B35)</f>
        <v>47536.7</v>
      </c>
      <c r="I35" s="11" t="n">
        <f aca="false">SUMIFS(Mensal!$I$5:$I$169,Mensal!$B$5:$B$169,$B35)</f>
        <v>0</v>
      </c>
      <c r="J35" s="11" t="n">
        <f aca="false">SUM(F35:I35)</f>
        <v>47536.7</v>
      </c>
      <c r="K35" s="12" t="n">
        <f aca="false">SUMIFS(Mensal!$N$5:$N$169,Mensal!$B$5:$B$169,$B35)</f>
        <v>6560348.158</v>
      </c>
      <c r="L35" s="12" t="n">
        <f aca="false">IFERROR(K35/J35,"")</f>
        <v>138.005965033332</v>
      </c>
      <c r="M35" s="13" t="n">
        <v>-17.5788190579158</v>
      </c>
      <c r="N35" s="13" t="n">
        <v>-44.6425615550112</v>
      </c>
      <c r="O35" s="9" t="s">
        <v>117</v>
      </c>
    </row>
    <row r="36" customFormat="false" ht="15" hidden="false" customHeight="false" outlineLevel="0" collapsed="false">
      <c r="A36" s="9" t="s">
        <v>143</v>
      </c>
      <c r="B36" s="9" t="s">
        <v>144</v>
      </c>
      <c r="C36" s="9" t="s">
        <v>56</v>
      </c>
      <c r="D36" s="9" t="s">
        <v>80</v>
      </c>
      <c r="E36" s="10" t="n">
        <v>79.8</v>
      </c>
      <c r="F36" s="11" t="n">
        <f aca="false">SUMIFS(Mensal!$F$5:$F$169,Mensal!$B$5:$B$169,$B36)</f>
        <v>2282.1</v>
      </c>
      <c r="G36" s="11" t="n">
        <f aca="false">SUMIFS(Mensal!$G$5:$G$169,Mensal!$B$5:$B$169,$B36)</f>
        <v>0</v>
      </c>
      <c r="H36" s="11" t="n">
        <f aca="false">SUMIFS(Mensal!$H$5:$H$169,Mensal!$B$5:$B$169,$B36)</f>
        <v>10441.9</v>
      </c>
      <c r="I36" s="11" t="n">
        <f aca="false">SUMIFS(Mensal!$I$5:$I$169,Mensal!$B$5:$B$169,$B36)</f>
        <v>0</v>
      </c>
      <c r="J36" s="11" t="n">
        <f aca="false">SUM(F36:I36)</f>
        <v>12724</v>
      </c>
      <c r="K36" s="12" t="n">
        <f aca="false">SUMIFS(Mensal!$N$5:$N$169,Mensal!$B$5:$B$169,$B36)</f>
        <v>1720613.545</v>
      </c>
      <c r="L36" s="12" t="n">
        <f aca="false">IFERROR(K36/J36,"")</f>
        <v>135.225836607985</v>
      </c>
      <c r="M36" s="13" t="n">
        <v>-12.604269</v>
      </c>
      <c r="N36" s="13" t="n">
        <v>-44.083244</v>
      </c>
      <c r="O36" s="9" t="s">
        <v>138</v>
      </c>
    </row>
    <row r="37" customFormat="false" ht="15" hidden="false" customHeight="false" outlineLevel="0" collapsed="false">
      <c r="A37" s="9" t="s">
        <v>145</v>
      </c>
      <c r="B37" s="9" t="s">
        <v>146</v>
      </c>
      <c r="C37" s="9" t="s">
        <v>56</v>
      </c>
      <c r="D37" s="9" t="s">
        <v>61</v>
      </c>
      <c r="E37" s="10" t="n">
        <v>189.14</v>
      </c>
      <c r="F37" s="11" t="n">
        <f aca="false">SUMIFS(Mensal!$F$5:$F$169,Mensal!$B$5:$B$169,$B37)</f>
        <v>692.8</v>
      </c>
      <c r="G37" s="11" t="n">
        <f aca="false">SUMIFS(Mensal!$G$5:$G$169,Mensal!$B$5:$B$169,$B37)</f>
        <v>0</v>
      </c>
      <c r="H37" s="11" t="n">
        <f aca="false">SUMIFS(Mensal!$H$5:$H$169,Mensal!$B$5:$B$169,$B37)</f>
        <v>16688.6</v>
      </c>
      <c r="I37" s="11" t="n">
        <f aca="false">SUMIFS(Mensal!$I$5:$I$169,Mensal!$B$5:$B$169,$B37)</f>
        <v>0</v>
      </c>
      <c r="J37" s="11" t="n">
        <f aca="false">SUM(F37:I37)</f>
        <v>17381.4</v>
      </c>
      <c r="K37" s="12" t="n">
        <f aca="false">SUMIFS(Mensal!$N$5:$N$169,Mensal!$B$5:$B$169,$B37)</f>
        <v>2411503.619</v>
      </c>
      <c r="L37" s="12" t="n">
        <f aca="false">IFERROR(K37/J37,"")</f>
        <v>138.740470790615</v>
      </c>
      <c r="M37" s="13" t="n">
        <v>-6.357122</v>
      </c>
      <c r="N37" s="13" t="n">
        <v>-38.86369</v>
      </c>
      <c r="O37" s="9" t="s">
        <v>147</v>
      </c>
    </row>
    <row r="38" customFormat="false" ht="15" hidden="false" customHeight="false" outlineLevel="0" collapsed="false">
      <c r="A38" s="9" t="s">
        <v>148</v>
      </c>
      <c r="B38" s="9" t="s">
        <v>149</v>
      </c>
      <c r="C38" s="9" t="s">
        <v>68</v>
      </c>
      <c r="D38" s="9" t="s">
        <v>150</v>
      </c>
      <c r="E38" s="10" t="n">
        <v>400</v>
      </c>
      <c r="F38" s="11" t="n">
        <f aca="false">SUMIFS(Mensal!$F$5:$F$169,Mensal!$B$5:$B$169,$B38)</f>
        <v>0</v>
      </c>
      <c r="G38" s="11" t="n">
        <f aca="false">SUMIFS(Mensal!$G$5:$G$169,Mensal!$B$5:$B$169,$B38)</f>
        <v>0</v>
      </c>
      <c r="H38" s="11" t="n">
        <f aca="false">SUMIFS(Mensal!$H$5:$H$169,Mensal!$B$5:$B$169,$B38)</f>
        <v>1071.7</v>
      </c>
      <c r="I38" s="11" t="n">
        <f aca="false">SUMIFS(Mensal!$I$5:$I$169,Mensal!$B$5:$B$169,$B38)</f>
        <v>0</v>
      </c>
      <c r="J38" s="11" t="n">
        <f aca="false">SUM(F38:I38)</f>
        <v>1071.7</v>
      </c>
      <c r="K38" s="12" t="n">
        <f aca="false">SUMIFS(Mensal!$N$5:$N$169,Mensal!$B$5:$B$169,$B38)</f>
        <v>195419.966</v>
      </c>
      <c r="L38" s="12" t="n">
        <f aca="false">IFERROR(K38/J38,"")</f>
        <v>182.345774003919</v>
      </c>
      <c r="M38" s="13" t="n">
        <v>-19.77375</v>
      </c>
      <c r="N38" s="13" t="n">
        <v>-51.389267</v>
      </c>
      <c r="O38" s="9" t="s">
        <v>83</v>
      </c>
    </row>
    <row r="39" customFormat="false" ht="15" hidden="false" customHeight="false" outlineLevel="0" collapsed="false">
      <c r="A39" s="9" t="s">
        <v>151</v>
      </c>
      <c r="B39" s="9" t="s">
        <v>152</v>
      </c>
      <c r="C39" s="9" t="s">
        <v>56</v>
      </c>
      <c r="D39" s="9" t="s">
        <v>80</v>
      </c>
      <c r="E39" s="10" t="n">
        <v>133.401</v>
      </c>
      <c r="F39" s="11" t="n">
        <f aca="false">SUMIFS(Mensal!$F$5:$F$169,Mensal!$B$5:$B$169,$B39)</f>
        <v>0</v>
      </c>
      <c r="G39" s="11" t="n">
        <f aca="false">SUMIFS(Mensal!$G$5:$G$169,Mensal!$B$5:$B$169,$B39)</f>
        <v>3275.6</v>
      </c>
      <c r="H39" s="11" t="n">
        <f aca="false">SUMIFS(Mensal!$H$5:$H$169,Mensal!$B$5:$B$169,$B39)</f>
        <v>12534.5</v>
      </c>
      <c r="I39" s="11" t="n">
        <f aca="false">SUMIFS(Mensal!$I$5:$I$169,Mensal!$B$5:$B$169,$B39)</f>
        <v>0</v>
      </c>
      <c r="J39" s="11" t="n">
        <f aca="false">SUM(F39:I39)</f>
        <v>15810.1</v>
      </c>
      <c r="K39" s="12" t="n">
        <f aca="false">SUMIFS(Mensal!$N$5:$N$169,Mensal!$B$5:$B$169,$B39)</f>
        <v>2154995.136</v>
      </c>
      <c r="L39" s="12" t="n">
        <f aca="false">IFERROR(K39/J39,"")</f>
        <v>136.30496555999</v>
      </c>
      <c r="M39" s="13" t="n">
        <v>-11.3086392401841</v>
      </c>
      <c r="N39" s="13" t="n">
        <v>-41.8078604371333</v>
      </c>
      <c r="O39" s="9" t="s">
        <v>105</v>
      </c>
    </row>
    <row r="40" customFormat="false" ht="15" hidden="false" customHeight="false" outlineLevel="0" collapsed="false">
      <c r="A40" s="9" t="s">
        <v>153</v>
      </c>
      <c r="B40" s="9" t="s">
        <v>154</v>
      </c>
      <c r="C40" s="9" t="s">
        <v>56</v>
      </c>
      <c r="D40" s="9" t="s">
        <v>80</v>
      </c>
      <c r="E40" s="10" t="n">
        <v>196</v>
      </c>
      <c r="F40" s="11" t="n">
        <f aca="false">SUMIFS(Mensal!$F$5:$F$169,Mensal!$B$5:$B$169,$B40)</f>
        <v>5668</v>
      </c>
      <c r="G40" s="11" t="n">
        <f aca="false">SUMIFS(Mensal!$G$5:$G$169,Mensal!$B$5:$B$169,$B40)</f>
        <v>0</v>
      </c>
      <c r="H40" s="11" t="n">
        <f aca="false">SUMIFS(Mensal!$H$5:$H$169,Mensal!$B$5:$B$169,$B40)</f>
        <v>26356.5</v>
      </c>
      <c r="I40" s="11" t="n">
        <f aca="false">SUMIFS(Mensal!$I$5:$I$169,Mensal!$B$5:$B$169,$B40)</f>
        <v>0</v>
      </c>
      <c r="J40" s="11" t="n">
        <f aca="false">SUM(F40:I40)</f>
        <v>32024.5</v>
      </c>
      <c r="K40" s="12" t="n">
        <f aca="false">SUMIFS(Mensal!$N$5:$N$169,Mensal!$B$5:$B$169,$B40)</f>
        <v>4309772.95</v>
      </c>
      <c r="L40" s="12" t="n">
        <f aca="false">IFERROR(K40/J40,"")</f>
        <v>134.577368889444</v>
      </c>
      <c r="M40" s="13" t="n">
        <v>-12.5837014272605</v>
      </c>
      <c r="N40" s="13" t="n">
        <v>-44.1077330053015</v>
      </c>
      <c r="O40" s="9" t="s">
        <v>138</v>
      </c>
    </row>
    <row r="41" customFormat="false" ht="15" hidden="false" customHeight="false" outlineLevel="0" collapsed="false">
      <c r="A41" s="9" t="s">
        <v>155</v>
      </c>
      <c r="B41" s="9" t="s">
        <v>156</v>
      </c>
      <c r="C41" s="9" t="s">
        <v>56</v>
      </c>
      <c r="D41" s="9" t="s">
        <v>61</v>
      </c>
      <c r="E41" s="10" t="n">
        <v>199.8</v>
      </c>
      <c r="F41" s="11" t="n">
        <f aca="false">SUMIFS(Mensal!$F$5:$F$169,Mensal!$B$5:$B$169,$B41)</f>
        <v>803.3</v>
      </c>
      <c r="G41" s="11" t="n">
        <f aca="false">SUMIFS(Mensal!$G$5:$G$169,Mensal!$B$5:$B$169,$B41)</f>
        <v>164.5</v>
      </c>
      <c r="H41" s="11" t="n">
        <f aca="false">SUMIFS(Mensal!$H$5:$H$169,Mensal!$B$5:$B$169,$B41)</f>
        <v>14729.4</v>
      </c>
      <c r="I41" s="11" t="n">
        <f aca="false">SUMIFS(Mensal!$I$5:$I$169,Mensal!$B$5:$B$169,$B41)</f>
        <v>0</v>
      </c>
      <c r="J41" s="11" t="n">
        <f aca="false">SUM(F41:I41)</f>
        <v>15697.2</v>
      </c>
      <c r="K41" s="12" t="n">
        <f aca="false">SUMIFS(Mensal!$N$5:$N$169,Mensal!$B$5:$B$169,$B41)</f>
        <v>2185597.792</v>
      </c>
      <c r="L41" s="12" t="n">
        <f aca="false">IFERROR(K41/J41,"")</f>
        <v>139.234882144586</v>
      </c>
      <c r="M41" s="13" t="n">
        <v>-4.9378</v>
      </c>
      <c r="N41" s="13" t="n">
        <v>-37.7046</v>
      </c>
      <c r="O41" s="9" t="s">
        <v>62</v>
      </c>
    </row>
    <row r="42" customFormat="false" ht="15" hidden="false" customHeight="false" outlineLevel="0" collapsed="false">
      <c r="A42" s="9" t="s">
        <v>157</v>
      </c>
      <c r="B42" s="9" t="s">
        <v>158</v>
      </c>
      <c r="C42" s="9" t="s">
        <v>68</v>
      </c>
      <c r="D42" s="9" t="s">
        <v>69</v>
      </c>
      <c r="E42" s="10" t="n">
        <v>120</v>
      </c>
      <c r="F42" s="11" t="n">
        <f aca="false">SUMIFS(Mensal!$F$5:$F$169,Mensal!$B$5:$B$169,$B42)</f>
        <v>1881.5</v>
      </c>
      <c r="G42" s="11" t="n">
        <f aca="false">SUMIFS(Mensal!$G$5:$G$169,Mensal!$B$5:$B$169,$B42)</f>
        <v>0</v>
      </c>
      <c r="H42" s="11" t="n">
        <f aca="false">SUMIFS(Mensal!$H$5:$H$169,Mensal!$B$5:$B$169,$B42)</f>
        <v>10773.8</v>
      </c>
      <c r="I42" s="11" t="n">
        <f aca="false">SUMIFS(Mensal!$I$5:$I$169,Mensal!$B$5:$B$169,$B42)</f>
        <v>0</v>
      </c>
      <c r="J42" s="11" t="n">
        <f aca="false">SUM(F42:I42)</f>
        <v>12655.3</v>
      </c>
      <c r="K42" s="12" t="n">
        <f aca="false">SUMIFS(Mensal!$N$5:$N$169,Mensal!$B$5:$B$169,$B42)</f>
        <v>1721231.261</v>
      </c>
      <c r="L42" s="12" t="n">
        <f aca="false">IFERROR(K42/J42,"")</f>
        <v>136.008728437888</v>
      </c>
      <c r="M42" s="13"/>
      <c r="N42" s="13"/>
      <c r="O42" s="9" t="s">
        <v>70</v>
      </c>
    </row>
    <row r="43" customFormat="false" ht="15" hidden="false" customHeight="false" outlineLevel="0" collapsed="false">
      <c r="A43" s="9" t="s">
        <v>159</v>
      </c>
      <c r="B43" s="9" t="s">
        <v>160</v>
      </c>
      <c r="C43" s="9" t="s">
        <v>68</v>
      </c>
      <c r="D43" s="9" t="s">
        <v>69</v>
      </c>
      <c r="E43" s="10" t="n">
        <v>1336.658</v>
      </c>
      <c r="F43" s="11" t="n">
        <f aca="false">SUMIFS(Mensal!$F$5:$F$169,Mensal!$B$5:$B$169,$B43)</f>
        <v>17048.3</v>
      </c>
      <c r="G43" s="11" t="n">
        <f aca="false">SUMIFS(Mensal!$G$5:$G$169,Mensal!$B$5:$B$169,$B43)</f>
        <v>0</v>
      </c>
      <c r="H43" s="11" t="n">
        <f aca="false">SUMIFS(Mensal!$H$5:$H$169,Mensal!$B$5:$B$169,$B43)</f>
        <v>100528.6</v>
      </c>
      <c r="I43" s="11" t="n">
        <f aca="false">SUMIFS(Mensal!$I$5:$I$169,Mensal!$B$5:$B$169,$B43)</f>
        <v>0</v>
      </c>
      <c r="J43" s="11" t="n">
        <f aca="false">SUM(F43:I43)</f>
        <v>117576.9</v>
      </c>
      <c r="K43" s="12" t="n">
        <f aca="false">SUMIFS(Mensal!$N$5:$N$169,Mensal!$B$5:$B$169,$B43)</f>
        <v>15861306.627</v>
      </c>
      <c r="L43" s="12" t="n">
        <f aca="false">IFERROR(K43/J43,"")</f>
        <v>134.901554871748</v>
      </c>
      <c r="M43" s="13" t="n">
        <v>-15.94656</v>
      </c>
      <c r="N43" s="13" t="n">
        <v>-43.508374</v>
      </c>
      <c r="O43" s="9" t="s">
        <v>65</v>
      </c>
    </row>
    <row r="44" customFormat="false" ht="15" hidden="false" customHeight="false" outlineLevel="0" collapsed="false">
      <c r="A44" s="9" t="s">
        <v>161</v>
      </c>
      <c r="B44" s="9" t="s">
        <v>162</v>
      </c>
      <c r="C44" s="9" t="s">
        <v>68</v>
      </c>
      <c r="D44" s="9" t="s">
        <v>69</v>
      </c>
      <c r="E44" s="10" t="n">
        <v>128.5</v>
      </c>
      <c r="F44" s="11" t="n">
        <f aca="false">SUMIFS(Mensal!$F$5:$F$169,Mensal!$B$5:$B$169,$B44)</f>
        <v>951</v>
      </c>
      <c r="G44" s="11" t="n">
        <f aca="false">SUMIFS(Mensal!$G$5:$G$169,Mensal!$B$5:$B$169,$B44)</f>
        <v>0</v>
      </c>
      <c r="H44" s="11" t="n">
        <f aca="false">SUMIFS(Mensal!$H$5:$H$169,Mensal!$B$5:$B$169,$B44)</f>
        <v>8156.6</v>
      </c>
      <c r="I44" s="11" t="n">
        <f aca="false">SUMIFS(Mensal!$I$5:$I$169,Mensal!$B$5:$B$169,$B44)</f>
        <v>0</v>
      </c>
      <c r="J44" s="11" t="n">
        <f aca="false">SUM(F44:I44)</f>
        <v>9107.6</v>
      </c>
      <c r="K44" s="12" t="n">
        <f aca="false">SUMIFS(Mensal!$N$5:$N$169,Mensal!$B$5:$B$169,$B44)</f>
        <v>1236443.527</v>
      </c>
      <c r="L44" s="12" t="n">
        <f aca="false">IFERROR(K44/J44,"")</f>
        <v>135.759533466555</v>
      </c>
      <c r="M44" s="13" t="n">
        <v>-15.350723</v>
      </c>
      <c r="N44" s="13" t="n">
        <v>-43.635864</v>
      </c>
      <c r="O44" s="9" t="s">
        <v>131</v>
      </c>
    </row>
    <row r="45" customFormat="false" ht="15" hidden="false" customHeight="false" outlineLevel="0" collapsed="false">
      <c r="A45" s="9" t="s">
        <v>163</v>
      </c>
      <c r="B45" s="9" t="s">
        <v>164</v>
      </c>
      <c r="C45" s="9" t="s">
        <v>68</v>
      </c>
      <c r="D45" s="9" t="s">
        <v>69</v>
      </c>
      <c r="E45" s="10" t="n">
        <v>500</v>
      </c>
      <c r="F45" s="11" t="n">
        <f aca="false">SUMIFS(Mensal!$F$5:$F$169,Mensal!$B$5:$B$169,$B45)</f>
        <v>6269.7</v>
      </c>
      <c r="G45" s="11" t="n">
        <f aca="false">SUMIFS(Mensal!$G$5:$G$169,Mensal!$B$5:$B$169,$B45)</f>
        <v>0</v>
      </c>
      <c r="H45" s="11" t="n">
        <f aca="false">SUMIFS(Mensal!$H$5:$H$169,Mensal!$B$5:$B$169,$B45)</f>
        <v>38106.2</v>
      </c>
      <c r="I45" s="11" t="n">
        <f aca="false">SUMIFS(Mensal!$I$5:$I$169,Mensal!$B$5:$B$169,$B45)</f>
        <v>0</v>
      </c>
      <c r="J45" s="11" t="n">
        <f aca="false">SUM(F45:I45)</f>
        <v>44375.9</v>
      </c>
      <c r="K45" s="12" t="n">
        <f aca="false">SUMIFS(Mensal!$N$5:$N$169,Mensal!$B$5:$B$169,$B45)</f>
        <v>6050796.616</v>
      </c>
      <c r="L45" s="12" t="n">
        <f aca="false">IFERROR(K45/J45,"")</f>
        <v>136.353214605225</v>
      </c>
      <c r="M45" s="13"/>
      <c r="N45" s="13"/>
      <c r="O45" s="9" t="s">
        <v>102</v>
      </c>
    </row>
    <row r="46" customFormat="false" ht="15" hidden="false" customHeight="false" outlineLevel="0" collapsed="false">
      <c r="A46" s="9" t="s">
        <v>165</v>
      </c>
      <c r="B46" s="9" t="s">
        <v>166</v>
      </c>
      <c r="C46" s="9" t="s">
        <v>56</v>
      </c>
      <c r="D46" s="9" t="s">
        <v>80</v>
      </c>
      <c r="E46" s="10" t="n">
        <v>277.068</v>
      </c>
      <c r="F46" s="11" t="n">
        <f aca="false">SUMIFS(Mensal!$F$5:$F$169,Mensal!$B$5:$B$169,$B46)</f>
        <v>731</v>
      </c>
      <c r="G46" s="11" t="n">
        <f aca="false">SUMIFS(Mensal!$G$5:$G$169,Mensal!$B$5:$B$169,$B46)</f>
        <v>769</v>
      </c>
      <c r="H46" s="11" t="n">
        <f aca="false">SUMIFS(Mensal!$H$5:$H$169,Mensal!$B$5:$B$169,$B46)</f>
        <v>20487</v>
      </c>
      <c r="I46" s="11" t="n">
        <f aca="false">SUMIFS(Mensal!$I$5:$I$169,Mensal!$B$5:$B$169,$B46)</f>
        <v>0</v>
      </c>
      <c r="J46" s="11" t="n">
        <f aca="false">SUM(F46:I46)</f>
        <v>21987</v>
      </c>
      <c r="K46" s="12" t="n">
        <f aca="false">SUMIFS(Mensal!$N$5:$N$169,Mensal!$B$5:$B$169,$B46)</f>
        <v>2964427.83</v>
      </c>
      <c r="L46" s="12" t="n">
        <f aca="false">IFERROR(K46/J46,"")</f>
        <v>134.826389684814</v>
      </c>
      <c r="M46" s="13" t="n">
        <v>-9.5333</v>
      </c>
      <c r="N46" s="13" t="n">
        <v>-40.489</v>
      </c>
      <c r="O46" s="9" t="s">
        <v>58</v>
      </c>
    </row>
    <row r="47" customFormat="false" ht="15" hidden="false" customHeight="false" outlineLevel="0" collapsed="false">
      <c r="A47" s="9" t="s">
        <v>167</v>
      </c>
      <c r="B47" s="9" t="s">
        <v>168</v>
      </c>
      <c r="C47" s="9" t="s">
        <v>56</v>
      </c>
      <c r="D47" s="9" t="s">
        <v>80</v>
      </c>
      <c r="E47" s="10" t="n">
        <v>60</v>
      </c>
      <c r="F47" s="11" t="n">
        <f aca="false">SUMIFS(Mensal!$F$5:$F$169,Mensal!$B$5:$B$169,$B47)</f>
        <v>1684.5</v>
      </c>
      <c r="G47" s="11" t="n">
        <f aca="false">SUMIFS(Mensal!$G$5:$G$169,Mensal!$B$5:$B$169,$B47)</f>
        <v>0</v>
      </c>
      <c r="H47" s="11" t="n">
        <f aca="false">SUMIFS(Mensal!$H$5:$H$169,Mensal!$B$5:$B$169,$B47)</f>
        <v>5910.7</v>
      </c>
      <c r="I47" s="11" t="n">
        <f aca="false">SUMIFS(Mensal!$I$5:$I$169,Mensal!$B$5:$B$169,$B47)</f>
        <v>0</v>
      </c>
      <c r="J47" s="11" t="n">
        <f aca="false">SUM(F47:I47)</f>
        <v>7595.2</v>
      </c>
      <c r="K47" s="12" t="n">
        <f aca="false">SUMIFS(Mensal!$N$5:$N$169,Mensal!$B$5:$B$169,$B47)</f>
        <v>1018458.497</v>
      </c>
      <c r="L47" s="12" t="n">
        <f aca="false">IFERROR(K47/J47,"")</f>
        <v>134.092386902254</v>
      </c>
      <c r="M47" s="13" t="n">
        <v>-13.310839</v>
      </c>
      <c r="N47" s="13" t="n">
        <v>-43.351581</v>
      </c>
      <c r="O47" s="9" t="s">
        <v>108</v>
      </c>
    </row>
    <row r="48" customFormat="false" ht="15" hidden="false" customHeight="false" outlineLevel="0" collapsed="false">
      <c r="A48" s="9" t="s">
        <v>169</v>
      </c>
      <c r="B48" s="9" t="s">
        <v>170</v>
      </c>
      <c r="C48" s="9" t="s">
        <v>68</v>
      </c>
      <c r="D48" s="9" t="s">
        <v>69</v>
      </c>
      <c r="E48" s="10" t="n">
        <v>494.97</v>
      </c>
      <c r="F48" s="11" t="n">
        <f aca="false">SUMIFS(Mensal!$F$5:$F$169,Mensal!$B$5:$B$169,$B48)</f>
        <v>5427.7</v>
      </c>
      <c r="G48" s="11" t="n">
        <f aca="false">SUMIFS(Mensal!$G$5:$G$169,Mensal!$B$5:$B$169,$B48)</f>
        <v>0</v>
      </c>
      <c r="H48" s="11" t="n">
        <f aca="false">SUMIFS(Mensal!$H$5:$H$169,Mensal!$B$5:$B$169,$B48)</f>
        <v>26828.2</v>
      </c>
      <c r="I48" s="11" t="n">
        <f aca="false">SUMIFS(Mensal!$I$5:$I$169,Mensal!$B$5:$B$169,$B48)</f>
        <v>0</v>
      </c>
      <c r="J48" s="11" t="n">
        <f aca="false">SUM(F48:I48)</f>
        <v>32255.9</v>
      </c>
      <c r="K48" s="12" t="n">
        <f aca="false">SUMIFS(Mensal!$N$5:$N$169,Mensal!$B$5:$B$169,$B48)</f>
        <v>4372019.62</v>
      </c>
      <c r="L48" s="12" t="n">
        <f aca="false">IFERROR(K48/J48,"")</f>
        <v>135.541703068276</v>
      </c>
      <c r="M48" s="13" t="n">
        <v>-17.363171</v>
      </c>
      <c r="N48" s="13" t="n">
        <v>-44.696978</v>
      </c>
      <c r="O48" s="9" t="s">
        <v>105</v>
      </c>
    </row>
    <row r="49" customFormat="false" ht="15" hidden="false" customHeight="false" outlineLevel="0" collapsed="false">
      <c r="A49" s="9" t="s">
        <v>171</v>
      </c>
      <c r="B49" s="9" t="s">
        <v>172</v>
      </c>
      <c r="C49" s="9" t="s">
        <v>56</v>
      </c>
      <c r="D49" s="9" t="s">
        <v>61</v>
      </c>
      <c r="E49" s="10" t="n">
        <v>201</v>
      </c>
      <c r="F49" s="11" t="n">
        <f aca="false">SUMIFS(Mensal!$F$5:$F$169,Mensal!$B$5:$B$169,$B49)</f>
        <v>1701.2</v>
      </c>
      <c r="G49" s="11" t="n">
        <f aca="false">SUMIFS(Mensal!$G$5:$G$169,Mensal!$B$5:$B$169,$B49)</f>
        <v>0</v>
      </c>
      <c r="H49" s="11" t="n">
        <f aca="false">SUMIFS(Mensal!$H$5:$H$169,Mensal!$B$5:$B$169,$B49)</f>
        <v>16943.9</v>
      </c>
      <c r="I49" s="11" t="n">
        <f aca="false">SUMIFS(Mensal!$I$5:$I$169,Mensal!$B$5:$B$169,$B49)</f>
        <v>0</v>
      </c>
      <c r="J49" s="11" t="n">
        <f aca="false">SUM(F49:I49)</f>
        <v>18645.1</v>
      </c>
      <c r="K49" s="12" t="n">
        <f aca="false">SUMIFS(Mensal!$N$5:$N$169,Mensal!$B$5:$B$169,$B49)</f>
        <v>2588670.581</v>
      </c>
      <c r="L49" s="12" t="n">
        <f aca="false">IFERROR(K49/J49,"")</f>
        <v>138.839189974846</v>
      </c>
      <c r="M49" s="13" t="n">
        <v>-3.791728</v>
      </c>
      <c r="N49" s="13" t="n">
        <v>-38.932812</v>
      </c>
      <c r="O49" s="9" t="s">
        <v>70</v>
      </c>
    </row>
    <row r="50" customFormat="false" ht="15" hidden="false" customHeight="false" outlineLevel="0" collapsed="false">
      <c r="A50" s="9" t="s">
        <v>173</v>
      </c>
      <c r="B50" s="9" t="s">
        <v>174</v>
      </c>
      <c r="C50" s="9" t="s">
        <v>56</v>
      </c>
      <c r="D50" s="9" t="s">
        <v>61</v>
      </c>
      <c r="E50" s="10" t="n">
        <v>182.001</v>
      </c>
      <c r="F50" s="11" t="n">
        <f aca="false">SUMIFS(Mensal!$F$5:$F$169,Mensal!$B$5:$B$169,$B50)</f>
        <v>0</v>
      </c>
      <c r="G50" s="11" t="n">
        <f aca="false">SUMIFS(Mensal!$G$5:$G$169,Mensal!$B$5:$B$169,$B50)</f>
        <v>0</v>
      </c>
      <c r="H50" s="11" t="n">
        <f aca="false">SUMIFS(Mensal!$H$5:$H$169,Mensal!$B$5:$B$169,$B50)</f>
        <v>11788.3</v>
      </c>
      <c r="I50" s="11" t="n">
        <f aca="false">SUMIFS(Mensal!$I$5:$I$169,Mensal!$B$5:$B$169,$B50)</f>
        <v>0</v>
      </c>
      <c r="J50" s="11" t="n">
        <f aca="false">SUM(F50:I50)</f>
        <v>11788.3</v>
      </c>
      <c r="K50" s="12" t="n">
        <f aca="false">SUMIFS(Mensal!$N$5:$N$169,Mensal!$B$5:$B$169,$B50)</f>
        <v>1679268.493</v>
      </c>
      <c r="L50" s="12" t="n">
        <f aca="false">IFERROR(K50/J50,"")</f>
        <v>142.452134149962</v>
      </c>
      <c r="M50" s="13" t="n">
        <v>-3.630218</v>
      </c>
      <c r="N50" s="13" t="n">
        <v>-38.922755</v>
      </c>
      <c r="O50" s="9" t="s">
        <v>98</v>
      </c>
    </row>
    <row r="51" customFormat="false" ht="15" hidden="false" customHeight="false" outlineLevel="0" collapsed="false">
      <c r="A51" s="9" t="s">
        <v>175</v>
      </c>
      <c r="B51" s="9" t="s">
        <v>176</v>
      </c>
      <c r="C51" s="9" t="s">
        <v>56</v>
      </c>
      <c r="D51" s="9" t="s">
        <v>177</v>
      </c>
      <c r="E51" s="10" t="n">
        <v>117.888</v>
      </c>
      <c r="F51" s="11" t="n">
        <f aca="false">SUMIFS(Mensal!$F$5:$F$169,Mensal!$B$5:$B$169,$B51)</f>
        <v>1.9</v>
      </c>
      <c r="G51" s="11" t="n">
        <f aca="false">SUMIFS(Mensal!$G$5:$G$169,Mensal!$B$5:$B$169,$B51)</f>
        <v>0</v>
      </c>
      <c r="H51" s="11" t="n">
        <f aca="false">SUMIFS(Mensal!$H$5:$H$169,Mensal!$B$5:$B$169,$B51)</f>
        <v>6770.7</v>
      </c>
      <c r="I51" s="11" t="n">
        <f aca="false">SUMIFS(Mensal!$I$5:$I$169,Mensal!$B$5:$B$169,$B51)</f>
        <v>0</v>
      </c>
      <c r="J51" s="11" t="n">
        <f aca="false">SUM(F51:I51)</f>
        <v>6772.6</v>
      </c>
      <c r="K51" s="12" t="n">
        <f aca="false">SUMIFS(Mensal!$N$5:$N$169,Mensal!$B$5:$B$169,$B51)</f>
        <v>987331.296</v>
      </c>
      <c r="L51" s="12" t="n">
        <f aca="false">IFERROR(K51/J51,"")</f>
        <v>145.783199362136</v>
      </c>
      <c r="M51" s="13" t="n">
        <v>-6.840796</v>
      </c>
      <c r="N51" s="13" t="n">
        <v>-36.93287</v>
      </c>
      <c r="O51" s="9" t="s">
        <v>178</v>
      </c>
    </row>
    <row r="52" customFormat="false" ht="15" hidden="false" customHeight="false" outlineLevel="0" collapsed="false">
      <c r="A52" s="9" t="s">
        <v>179</v>
      </c>
      <c r="B52" s="9" t="s">
        <v>180</v>
      </c>
      <c r="C52" s="9" t="s">
        <v>56</v>
      </c>
      <c r="D52" s="9" t="s">
        <v>137</v>
      </c>
      <c r="E52" s="10" t="n">
        <v>360</v>
      </c>
      <c r="F52" s="11" t="n">
        <f aca="false">SUMIFS(Mensal!$F$5:$F$169,Mensal!$B$5:$B$169,$B52)</f>
        <v>928.8</v>
      </c>
      <c r="G52" s="11" t="n">
        <f aca="false">SUMIFS(Mensal!$G$5:$G$169,Mensal!$B$5:$B$169,$B52)</f>
        <v>0</v>
      </c>
      <c r="H52" s="11" t="n">
        <f aca="false">SUMIFS(Mensal!$H$5:$H$169,Mensal!$B$5:$B$169,$B52)</f>
        <v>29921.3</v>
      </c>
      <c r="I52" s="11" t="n">
        <f aca="false">SUMIFS(Mensal!$I$5:$I$169,Mensal!$B$5:$B$169,$B52)</f>
        <v>0</v>
      </c>
      <c r="J52" s="11" t="n">
        <f aca="false">SUM(F52:I52)</f>
        <v>30850.1</v>
      </c>
      <c r="K52" s="12" t="n">
        <f aca="false">SUMIFS(Mensal!$N$5:$N$169,Mensal!$B$5:$B$169,$B52)</f>
        <v>4254521.026</v>
      </c>
      <c r="L52" s="12" t="n">
        <f aca="false">IFERROR(K52/J52,"")</f>
        <v>137.909472773184</v>
      </c>
      <c r="M52" s="13" t="n">
        <v>-4.082201</v>
      </c>
      <c r="N52" s="13" t="n">
        <v>-41.273043</v>
      </c>
      <c r="O52" s="9" t="s">
        <v>88</v>
      </c>
    </row>
    <row r="53" customFormat="false" ht="15" hidden="false" customHeight="false" outlineLevel="0" collapsed="false">
      <c r="A53" s="9" t="s">
        <v>181</v>
      </c>
      <c r="B53" s="9" t="s">
        <v>182</v>
      </c>
      <c r="C53" s="9" t="s">
        <v>56</v>
      </c>
      <c r="D53" s="9" t="s">
        <v>61</v>
      </c>
      <c r="E53" s="10" t="n">
        <v>343.768</v>
      </c>
      <c r="F53" s="11" t="n">
        <f aca="false">SUMIFS(Mensal!$F$5:$F$169,Mensal!$B$5:$B$169,$B53)</f>
        <v>707.5</v>
      </c>
      <c r="G53" s="11" t="n">
        <f aca="false">SUMIFS(Mensal!$G$5:$G$169,Mensal!$B$5:$B$169,$B53)</f>
        <v>0</v>
      </c>
      <c r="H53" s="11" t="n">
        <f aca="false">SUMIFS(Mensal!$H$5:$H$169,Mensal!$B$5:$B$169,$B53)</f>
        <v>22128.2</v>
      </c>
      <c r="I53" s="11" t="n">
        <f aca="false">SUMIFS(Mensal!$I$5:$I$169,Mensal!$B$5:$B$169,$B53)</f>
        <v>0</v>
      </c>
      <c r="J53" s="11" t="n">
        <f aca="false">SUM(F53:I53)</f>
        <v>22835.7</v>
      </c>
      <c r="K53" s="12" t="n">
        <f aca="false">SUMIFS(Mensal!$N$5:$N$169,Mensal!$B$5:$B$169,$B53)</f>
        <v>3213603.197</v>
      </c>
      <c r="L53" s="12" t="n">
        <f aca="false">IFERROR(K53/J53,"")</f>
        <v>140.727159535289</v>
      </c>
      <c r="M53" s="13" t="n">
        <v>-7.366</v>
      </c>
      <c r="N53" s="13" t="n">
        <v>-38.781</v>
      </c>
      <c r="O53" s="9" t="s">
        <v>105</v>
      </c>
    </row>
    <row r="54" customFormat="false" ht="15" hidden="false" customHeight="false" outlineLevel="0" collapsed="false">
      <c r="A54" s="9" t="s">
        <v>183</v>
      </c>
      <c r="B54" s="9" t="s">
        <v>184</v>
      </c>
      <c r="C54" s="9" t="s">
        <v>56</v>
      </c>
      <c r="D54" s="9" t="s">
        <v>57</v>
      </c>
      <c r="E54" s="10" t="n">
        <v>212.382</v>
      </c>
      <c r="F54" s="11" t="n">
        <f aca="false">SUMIFS(Mensal!$F$5:$F$169,Mensal!$B$5:$B$169,$B54)</f>
        <v>824.9</v>
      </c>
      <c r="G54" s="11" t="n">
        <f aca="false">SUMIFS(Mensal!$G$5:$G$169,Mensal!$B$5:$B$169,$B54)</f>
        <v>4832</v>
      </c>
      <c r="H54" s="11" t="n">
        <f aca="false">SUMIFS(Mensal!$H$5:$H$169,Mensal!$B$5:$B$169,$B54)</f>
        <v>20559.2</v>
      </c>
      <c r="I54" s="11" t="n">
        <f aca="false">SUMIFS(Mensal!$I$5:$I$169,Mensal!$B$5:$B$169,$B54)</f>
        <v>0</v>
      </c>
      <c r="J54" s="11" t="n">
        <f aca="false">SUM(F54:I54)</f>
        <v>26216.1</v>
      </c>
      <c r="K54" s="12" t="n">
        <f aca="false">SUMIFS(Mensal!$N$5:$N$169,Mensal!$B$5:$B$169,$B54)</f>
        <v>3567587.086</v>
      </c>
      <c r="L54" s="12" t="n">
        <f aca="false">IFERROR(K54/J54,"")</f>
        <v>136.08382200251</v>
      </c>
      <c r="M54" s="13"/>
      <c r="N54" s="13"/>
      <c r="O54" s="9" t="s">
        <v>185</v>
      </c>
    </row>
    <row r="55" customFormat="false" ht="15" hidden="false" customHeight="false" outlineLevel="0" collapsed="false">
      <c r="A55" s="9" t="s">
        <v>186</v>
      </c>
      <c r="B55" s="9" t="s">
        <v>187</v>
      </c>
      <c r="C55" s="9" t="s">
        <v>56</v>
      </c>
      <c r="D55" s="9" t="s">
        <v>137</v>
      </c>
      <c r="E55" s="10" t="n">
        <v>210</v>
      </c>
      <c r="F55" s="11" t="n">
        <f aca="false">SUMIFS(Mensal!$F$5:$F$169,Mensal!$B$5:$B$169,$B55)</f>
        <v>1622.8</v>
      </c>
      <c r="G55" s="11" t="n">
        <f aca="false">SUMIFS(Mensal!$G$5:$G$169,Mensal!$B$5:$B$169,$B55)</f>
        <v>381</v>
      </c>
      <c r="H55" s="11" t="n">
        <f aca="false">SUMIFS(Mensal!$H$5:$H$169,Mensal!$B$5:$B$169,$B55)</f>
        <v>15784</v>
      </c>
      <c r="I55" s="11" t="n">
        <f aca="false">SUMIFS(Mensal!$I$5:$I$169,Mensal!$B$5:$B$169,$B55)</f>
        <v>0</v>
      </c>
      <c r="J55" s="11" t="n">
        <f aca="false">SUM(F55:I55)</f>
        <v>17787.8</v>
      </c>
      <c r="K55" s="12" t="n">
        <f aca="false">SUMIFS(Mensal!$N$5:$N$169,Mensal!$B$5:$B$169,$B55)</f>
        <v>2468448.038</v>
      </c>
      <c r="L55" s="12" t="n">
        <f aca="false">IFERROR(K55/J55,"")</f>
        <v>138.771969439728</v>
      </c>
      <c r="M55" s="13" t="n">
        <v>-8.194181</v>
      </c>
      <c r="N55" s="13" t="n">
        <v>-42.556878</v>
      </c>
      <c r="O55" s="9" t="s">
        <v>108</v>
      </c>
    </row>
    <row r="56" customFormat="false" ht="15" hidden="false" customHeight="false" outlineLevel="0" collapsed="false">
      <c r="A56" s="9" t="s">
        <v>188</v>
      </c>
      <c r="B56" s="9" t="s">
        <v>189</v>
      </c>
      <c r="C56" s="9" t="s">
        <v>68</v>
      </c>
      <c r="D56" s="9" t="s">
        <v>69</v>
      </c>
      <c r="E56" s="10" t="n">
        <v>342.001</v>
      </c>
      <c r="F56" s="11" t="n">
        <f aca="false">SUMIFS(Mensal!$F$5:$F$169,Mensal!$B$5:$B$169,$B56)</f>
        <v>396.4</v>
      </c>
      <c r="G56" s="11" t="n">
        <f aca="false">SUMIFS(Mensal!$G$5:$G$169,Mensal!$B$5:$B$169,$B56)</f>
        <v>0</v>
      </c>
      <c r="H56" s="11" t="n">
        <f aca="false">SUMIFS(Mensal!$H$5:$H$169,Mensal!$B$5:$B$169,$B56)</f>
        <v>25649.8</v>
      </c>
      <c r="I56" s="11" t="n">
        <f aca="false">SUMIFS(Mensal!$I$5:$I$169,Mensal!$B$5:$B$169,$B56)</f>
        <v>0</v>
      </c>
      <c r="J56" s="11" t="n">
        <f aca="false">SUM(F56:I56)</f>
        <v>26046.2</v>
      </c>
      <c r="K56" s="12" t="n">
        <f aca="false">SUMIFS(Mensal!$N$5:$N$169,Mensal!$B$5:$B$169,$B56)</f>
        <v>3555976.513</v>
      </c>
      <c r="L56" s="12" t="n">
        <f aca="false">IFERROR(K56/J56,"")</f>
        <v>136.525731699826</v>
      </c>
      <c r="M56" s="13" t="n">
        <v>-17.226</v>
      </c>
      <c r="N56" s="13" t="n">
        <v>-47.094</v>
      </c>
      <c r="O56" s="9" t="s">
        <v>58</v>
      </c>
    </row>
    <row r="57" customFormat="false" ht="15" hidden="false" customHeight="false" outlineLevel="0" collapsed="false">
      <c r="A57" s="9" t="s">
        <v>190</v>
      </c>
      <c r="B57" s="9" t="s">
        <v>191</v>
      </c>
      <c r="C57" s="9" t="s">
        <v>68</v>
      </c>
      <c r="D57" s="9" t="s">
        <v>69</v>
      </c>
      <c r="E57" s="10"/>
      <c r="F57" s="11" t="n">
        <f aca="false">SUMIFS(Mensal!$F$5:$F$169,Mensal!$B$5:$B$169,$B57)</f>
        <v>1074.3</v>
      </c>
      <c r="G57" s="11" t="n">
        <f aca="false">SUMIFS(Mensal!$G$5:$G$169,Mensal!$B$5:$B$169,$B57)</f>
        <v>0</v>
      </c>
      <c r="H57" s="11" t="n">
        <f aca="false">SUMIFS(Mensal!$H$5:$H$169,Mensal!$B$5:$B$169,$B57)</f>
        <v>52058.6</v>
      </c>
      <c r="I57" s="11" t="n">
        <f aca="false">SUMIFS(Mensal!$I$5:$I$169,Mensal!$B$5:$B$169,$B57)</f>
        <v>0</v>
      </c>
      <c r="J57" s="11" t="n">
        <f aca="false">SUM(F57:I57)</f>
        <v>53132.9</v>
      </c>
      <c r="K57" s="12" t="n">
        <f aca="false">SUMIFS(Mensal!$N$5:$N$169,Mensal!$B$5:$B$169,$B57)</f>
        <v>6867958.654</v>
      </c>
      <c r="L57" s="12" t="n">
        <f aca="false">IFERROR(K57/J57,"")</f>
        <v>129.26</v>
      </c>
      <c r="M57" s="13"/>
      <c r="N57" s="13"/>
      <c r="O57" s="9" t="s">
        <v>117</v>
      </c>
    </row>
    <row r="58" customFormat="false" ht="15" hidden="false" customHeight="false" outlineLevel="0" collapsed="false">
      <c r="A58" s="9" t="s">
        <v>192</v>
      </c>
      <c r="B58" s="9" t="s">
        <v>193</v>
      </c>
      <c r="C58" s="9" t="s">
        <v>68</v>
      </c>
      <c r="D58" s="9" t="s">
        <v>69</v>
      </c>
      <c r="E58" s="10" t="n">
        <v>1014.3</v>
      </c>
      <c r="F58" s="11" t="n">
        <f aca="false">SUMIFS(Mensal!$F$5:$F$169,Mensal!$B$5:$B$169,$B58)</f>
        <v>0</v>
      </c>
      <c r="G58" s="11" t="n">
        <f aca="false">SUMIFS(Mensal!$G$5:$G$169,Mensal!$B$5:$B$169,$B58)</f>
        <v>0</v>
      </c>
      <c r="H58" s="11" t="n">
        <f aca="false">SUMIFS(Mensal!$H$5:$H$169,Mensal!$B$5:$B$169,$B58)</f>
        <v>14355.4</v>
      </c>
      <c r="I58" s="11" t="n">
        <f aca="false">SUMIFS(Mensal!$I$5:$I$169,Mensal!$B$5:$B$169,$B58)</f>
        <v>0</v>
      </c>
      <c r="J58" s="11" t="n">
        <f aca="false">SUM(F58:I58)</f>
        <v>14355.4</v>
      </c>
      <c r="K58" s="12" t="n">
        <f aca="false">SUMIFS(Mensal!$N$5:$N$169,Mensal!$B$5:$B$169,$B58)</f>
        <v>2619142.73</v>
      </c>
      <c r="L58" s="12" t="n">
        <f aca="false">IFERROR(K58/J58,"")</f>
        <v>182.45</v>
      </c>
      <c r="M58" s="13" t="n">
        <v>-17.0693478065785</v>
      </c>
      <c r="N58" s="13" t="n">
        <v>-47.1127952656171</v>
      </c>
      <c r="O58" s="9" t="s">
        <v>105</v>
      </c>
    </row>
    <row r="59" customFormat="false" ht="15" hidden="false" customHeight="false" outlineLevel="0" collapsed="false">
      <c r="A59" s="9" t="s">
        <v>194</v>
      </c>
      <c r="B59" s="9" t="s">
        <v>195</v>
      </c>
      <c r="C59" s="9" t="s">
        <v>68</v>
      </c>
      <c r="D59" s="9" t="s">
        <v>101</v>
      </c>
      <c r="E59" s="10" t="n">
        <v>90</v>
      </c>
      <c r="F59" s="11" t="n">
        <f aca="false">SUMIFS(Mensal!$F$5:$F$169,Mensal!$B$5:$B$169,$B59)</f>
        <v>0</v>
      </c>
      <c r="G59" s="11" t="n">
        <f aca="false">SUMIFS(Mensal!$G$5:$G$169,Mensal!$B$5:$B$169,$B59)</f>
        <v>0</v>
      </c>
      <c r="H59" s="11" t="n">
        <f aca="false">SUMIFS(Mensal!$H$5:$H$169,Mensal!$B$5:$B$169,$B59)</f>
        <v>8237.4</v>
      </c>
      <c r="I59" s="11" t="n">
        <f aca="false">SUMIFS(Mensal!$I$5:$I$169,Mensal!$B$5:$B$169,$B59)</f>
        <v>0</v>
      </c>
      <c r="J59" s="11" t="n">
        <f aca="false">SUM(F59:I59)</f>
        <v>8237.4</v>
      </c>
      <c r="K59" s="12" t="n">
        <f aca="false">SUMIFS(Mensal!$N$5:$N$169,Mensal!$B$5:$B$169,$B59)</f>
        <v>1134418.629</v>
      </c>
      <c r="L59" s="12" t="n">
        <f aca="false">IFERROR(K59/J59,"")</f>
        <v>137.715617670624</v>
      </c>
      <c r="M59" s="13" t="n">
        <v>-20.195849</v>
      </c>
      <c r="N59" s="13" t="n">
        <v>-50.032683</v>
      </c>
      <c r="O59" s="9" t="s">
        <v>70</v>
      </c>
    </row>
    <row r="60" customFormat="false" ht="15" hidden="false" customHeight="false" outlineLevel="0" collapsed="false">
      <c r="A60" s="9" t="s">
        <v>196</v>
      </c>
      <c r="B60" s="9" t="s">
        <v>197</v>
      </c>
      <c r="C60" s="9" t="s">
        <v>68</v>
      </c>
      <c r="D60" s="9" t="s">
        <v>101</v>
      </c>
      <c r="E60" s="10" t="n">
        <v>457.995</v>
      </c>
      <c r="F60" s="11" t="n">
        <f aca="false">SUMIFS(Mensal!$F$5:$F$169,Mensal!$B$5:$B$169,$B60)</f>
        <v>0</v>
      </c>
      <c r="G60" s="11" t="n">
        <f aca="false">SUMIFS(Mensal!$G$5:$G$169,Mensal!$B$5:$B$169,$B60)</f>
        <v>0</v>
      </c>
      <c r="H60" s="11" t="n">
        <f aca="false">SUMIFS(Mensal!$H$5:$H$169,Mensal!$B$5:$B$169,$B60)</f>
        <v>39440.9</v>
      </c>
      <c r="I60" s="11" t="n">
        <f aca="false">SUMIFS(Mensal!$I$5:$I$169,Mensal!$B$5:$B$169,$B60)</f>
        <v>0</v>
      </c>
      <c r="J60" s="11" t="n">
        <f aca="false">SUM(F60:I60)</f>
        <v>39440.9</v>
      </c>
      <c r="K60" s="12" t="n">
        <f aca="false">SUMIFS(Mensal!$N$5:$N$169,Mensal!$B$5:$B$169,$B60)</f>
        <v>5380963.24</v>
      </c>
      <c r="L60" s="12" t="n">
        <f aca="false">IFERROR(K60/J60,"")</f>
        <v>136.431045944692</v>
      </c>
      <c r="M60" s="13" t="n">
        <v>-20.62</v>
      </c>
      <c r="N60" s="13" t="n">
        <v>-51.3</v>
      </c>
      <c r="O60" s="9" t="s">
        <v>185</v>
      </c>
    </row>
    <row r="61" customFormat="false" ht="15" hidden="false" customHeight="false" outlineLevel="0" collapsed="false">
      <c r="A61" s="9" t="s">
        <v>198</v>
      </c>
      <c r="B61" s="9" t="s">
        <v>199</v>
      </c>
      <c r="C61" s="9" t="s">
        <v>68</v>
      </c>
      <c r="D61" s="9" t="s">
        <v>69</v>
      </c>
      <c r="E61" s="10" t="n">
        <v>329</v>
      </c>
      <c r="F61" s="11" t="n">
        <f aca="false">SUMIFS(Mensal!$F$5:$F$169,Mensal!$B$5:$B$169,$B61)</f>
        <v>3879.2</v>
      </c>
      <c r="G61" s="11" t="n">
        <f aca="false">SUMIFS(Mensal!$G$5:$G$169,Mensal!$B$5:$B$169,$B61)</f>
        <v>0</v>
      </c>
      <c r="H61" s="11" t="n">
        <f aca="false">SUMIFS(Mensal!$H$5:$H$169,Mensal!$B$5:$B$169,$B61)</f>
        <v>21073.1</v>
      </c>
      <c r="I61" s="11" t="n">
        <f aca="false">SUMIFS(Mensal!$I$5:$I$169,Mensal!$B$5:$B$169,$B61)</f>
        <v>0</v>
      </c>
      <c r="J61" s="11" t="n">
        <f aca="false">SUM(F61:I61)</f>
        <v>24952.3</v>
      </c>
      <c r="K61" s="12" t="n">
        <f aca="false">SUMIFS(Mensal!$N$5:$N$169,Mensal!$B$5:$B$169,$B61)</f>
        <v>3396903.962</v>
      </c>
      <c r="L61" s="12" t="n">
        <f aca="false">IFERROR(K61/J61,"")</f>
        <v>136.135905788244</v>
      </c>
      <c r="M61" s="13" t="n">
        <v>-17.4056</v>
      </c>
      <c r="N61" s="13" t="n">
        <v>-44.9225</v>
      </c>
      <c r="O61" s="9" t="s">
        <v>117</v>
      </c>
    </row>
    <row r="62" customFormat="false" ht="15" hidden="false" customHeight="false" outlineLevel="0" collapsed="false">
      <c r="A62" s="9" t="s">
        <v>200</v>
      </c>
      <c r="B62" s="9" t="s">
        <v>201</v>
      </c>
      <c r="C62" s="9" t="s">
        <v>56</v>
      </c>
      <c r="D62" s="9" t="s">
        <v>137</v>
      </c>
      <c r="E62" s="10" t="n">
        <v>223.212</v>
      </c>
      <c r="F62" s="11" t="n">
        <f aca="false">SUMIFS(Mensal!$F$5:$F$169,Mensal!$B$5:$B$169,$B62)</f>
        <v>0</v>
      </c>
      <c r="G62" s="11" t="n">
        <f aca="false">SUMIFS(Mensal!$G$5:$G$169,Mensal!$B$5:$B$169,$B62)</f>
        <v>3729.9</v>
      </c>
      <c r="H62" s="11" t="n">
        <f aca="false">SUMIFS(Mensal!$H$5:$H$169,Mensal!$B$5:$B$169,$B62)</f>
        <v>19632.9</v>
      </c>
      <c r="I62" s="11" t="n">
        <f aca="false">SUMIFS(Mensal!$I$5:$I$169,Mensal!$B$5:$B$169,$B62)</f>
        <v>0</v>
      </c>
      <c r="J62" s="11" t="n">
        <f aca="false">SUM(F62:I62)</f>
        <v>23362.8</v>
      </c>
      <c r="K62" s="12" t="n">
        <f aca="false">SUMIFS(Mensal!$N$5:$N$169,Mensal!$B$5:$B$169,$B62)</f>
        <v>3145136.568</v>
      </c>
      <c r="L62" s="12" t="n">
        <f aca="false">IFERROR(K62/J62,"")</f>
        <v>134.621559402126</v>
      </c>
      <c r="M62" s="13" t="n">
        <v>-7.6532244</v>
      </c>
      <c r="N62" s="13" t="n">
        <v>-45.190727</v>
      </c>
      <c r="O62" s="9" t="s">
        <v>91</v>
      </c>
    </row>
    <row r="63" customFormat="false" ht="15" hidden="false" customHeight="false" outlineLevel="0" collapsed="false">
      <c r="A63" s="9" t="s">
        <v>202</v>
      </c>
      <c r="B63" s="9" t="s">
        <v>203</v>
      </c>
      <c r="C63" s="9" t="s">
        <v>56</v>
      </c>
      <c r="D63" s="9" t="s">
        <v>137</v>
      </c>
      <c r="E63" s="10" t="n">
        <v>299.97</v>
      </c>
      <c r="F63" s="11" t="n">
        <f aca="false">SUMIFS(Mensal!$F$5:$F$169,Mensal!$B$5:$B$169,$B63)</f>
        <v>2111.4</v>
      </c>
      <c r="G63" s="11" t="n">
        <f aca="false">SUMIFS(Mensal!$G$5:$G$169,Mensal!$B$5:$B$169,$B63)</f>
        <v>4807.9</v>
      </c>
      <c r="H63" s="11" t="n">
        <f aca="false">SUMIFS(Mensal!$H$5:$H$169,Mensal!$B$5:$B$169,$B63)</f>
        <v>33239.9</v>
      </c>
      <c r="I63" s="11" t="n">
        <f aca="false">SUMIFS(Mensal!$I$5:$I$169,Mensal!$B$5:$B$169,$B63)</f>
        <v>0</v>
      </c>
      <c r="J63" s="11" t="n">
        <f aca="false">SUM(F63:I63)</f>
        <v>40159.2</v>
      </c>
      <c r="K63" s="12" t="n">
        <f aca="false">SUMIFS(Mensal!$N$5:$N$169,Mensal!$B$5:$B$169,$B63)</f>
        <v>5371342.942</v>
      </c>
      <c r="L63" s="12" t="n">
        <f aca="false">IFERROR(K63/J63,"")</f>
        <v>133.75124360047</v>
      </c>
      <c r="M63" s="13" t="n">
        <v>-7.623814</v>
      </c>
      <c r="N63" s="13" t="n">
        <v>-45.207411</v>
      </c>
      <c r="O63" s="9" t="s">
        <v>98</v>
      </c>
    </row>
    <row r="64" customFormat="false" ht="15" hidden="false" customHeight="false" outlineLevel="0" collapsed="false">
      <c r="A64" s="9" t="s">
        <v>204</v>
      </c>
      <c r="B64" s="9" t="s">
        <v>205</v>
      </c>
      <c r="C64" s="9" t="s">
        <v>56</v>
      </c>
      <c r="D64" s="9" t="s">
        <v>177</v>
      </c>
      <c r="E64" s="10" t="n">
        <v>216</v>
      </c>
      <c r="F64" s="11" t="n">
        <f aca="false">SUMIFS(Mensal!$F$5:$F$169,Mensal!$B$5:$B$169,$B64)</f>
        <v>0</v>
      </c>
      <c r="G64" s="11" t="n">
        <f aca="false">SUMIFS(Mensal!$G$5:$G$169,Mensal!$B$5:$B$169,$B64)</f>
        <v>172.4</v>
      </c>
      <c r="H64" s="11" t="n">
        <f aca="false">SUMIFS(Mensal!$H$5:$H$169,Mensal!$B$5:$B$169,$B64)</f>
        <v>12078.6</v>
      </c>
      <c r="I64" s="11" t="n">
        <f aca="false">SUMIFS(Mensal!$I$5:$I$169,Mensal!$B$5:$B$169,$B64)</f>
        <v>0</v>
      </c>
      <c r="J64" s="11" t="n">
        <f aca="false">SUM(F64:I64)</f>
        <v>12251</v>
      </c>
      <c r="K64" s="12" t="n">
        <f aca="false">SUMIFS(Mensal!$N$5:$N$169,Mensal!$B$5:$B$169,$B64)</f>
        <v>1722721</v>
      </c>
      <c r="L64" s="12" t="n">
        <f aca="false">IFERROR(K64/J64,"")</f>
        <v>140.61880662803</v>
      </c>
      <c r="M64" s="13" t="n">
        <v>-6.9661</v>
      </c>
      <c r="N64" s="13" t="n">
        <v>-37.9892</v>
      </c>
      <c r="O64" s="9" t="s">
        <v>206</v>
      </c>
    </row>
    <row r="65" customFormat="false" ht="15" hidden="false" customHeight="false" outlineLevel="0" collapsed="false">
      <c r="A65" s="9" t="s">
        <v>207</v>
      </c>
      <c r="B65" s="9" t="s">
        <v>208</v>
      </c>
      <c r="C65" s="9" t="s">
        <v>68</v>
      </c>
      <c r="D65" s="9" t="s">
        <v>150</v>
      </c>
      <c r="E65" s="10" t="n">
        <v>491</v>
      </c>
      <c r="F65" s="11" t="n">
        <f aca="false">SUMIFS(Mensal!$F$5:$F$169,Mensal!$B$5:$B$169,$B65)</f>
        <v>0</v>
      </c>
      <c r="G65" s="11" t="n">
        <f aca="false">SUMIFS(Mensal!$G$5:$G$169,Mensal!$B$5:$B$169,$B65)</f>
        <v>0</v>
      </c>
      <c r="H65" s="11" t="n">
        <f aca="false">SUMIFS(Mensal!$H$5:$H$169,Mensal!$B$5:$B$169,$B65)</f>
        <v>1345</v>
      </c>
      <c r="I65" s="11" t="n">
        <f aca="false">SUMIFS(Mensal!$I$5:$I$169,Mensal!$B$5:$B$169,$B65)</f>
        <v>0</v>
      </c>
      <c r="J65" s="11" t="n">
        <f aca="false">SUM(F65:I65)</f>
        <v>1345</v>
      </c>
      <c r="K65" s="12" t="n">
        <f aca="false">SUMIFS(Mensal!$N$5:$N$169,Mensal!$B$5:$B$169,$B65)</f>
        <v>245134.619</v>
      </c>
      <c r="L65" s="12" t="n">
        <f aca="false">IFERROR(K65/J65,"")</f>
        <v>182.256222304833</v>
      </c>
      <c r="M65" s="13"/>
      <c r="N65" s="13"/>
      <c r="O65" s="9" t="s">
        <v>83</v>
      </c>
    </row>
    <row r="66" customFormat="false" ht="15" hidden="false" customHeight="false" outlineLevel="0" collapsed="false">
      <c r="A66" s="9" t="s">
        <v>209</v>
      </c>
      <c r="B66" s="9" t="s">
        <v>210</v>
      </c>
      <c r="C66" s="9" t="s">
        <v>56</v>
      </c>
      <c r="D66" s="9" t="s">
        <v>61</v>
      </c>
      <c r="E66" s="10" t="n">
        <v>165</v>
      </c>
      <c r="F66" s="11" t="n">
        <f aca="false">SUMIFS(Mensal!$F$5:$F$169,Mensal!$B$5:$B$169,$B66)</f>
        <v>1443.2</v>
      </c>
      <c r="G66" s="11" t="n">
        <f aca="false">SUMIFS(Mensal!$G$5:$G$169,Mensal!$B$5:$B$169,$B66)</f>
        <v>78.7</v>
      </c>
      <c r="H66" s="11" t="n">
        <f aca="false">SUMIFS(Mensal!$H$5:$H$169,Mensal!$B$5:$B$169,$B66)</f>
        <v>10825.3</v>
      </c>
      <c r="I66" s="11" t="n">
        <f aca="false">SUMIFS(Mensal!$I$5:$I$169,Mensal!$B$5:$B$169,$B66)</f>
        <v>0</v>
      </c>
      <c r="J66" s="11" t="n">
        <f aca="false">SUM(F66:I66)</f>
        <v>12347.2</v>
      </c>
      <c r="K66" s="12" t="n">
        <f aca="false">SUMIFS(Mensal!$N$5:$N$169,Mensal!$B$5:$B$169,$B66)</f>
        <v>1685663.567</v>
      </c>
      <c r="L66" s="12" t="n">
        <f aca="false">IFERROR(K66/J66,"")</f>
        <v>136.521929425295</v>
      </c>
      <c r="M66" s="13" t="n">
        <v>-4.869</v>
      </c>
      <c r="N66" s="13" t="n">
        <v>-37.994</v>
      </c>
      <c r="O66" s="9" t="s">
        <v>108</v>
      </c>
    </row>
    <row r="67" customFormat="false" ht="15" hidden="false" customHeight="false" outlineLevel="0" collapsed="false">
      <c r="A67" s="9" t="s">
        <v>211</v>
      </c>
      <c r="B67" s="9" t="s">
        <v>212</v>
      </c>
      <c r="C67" s="9" t="s">
        <v>56</v>
      </c>
      <c r="D67" s="9" t="s">
        <v>137</v>
      </c>
      <c r="E67" s="10" t="n">
        <v>186.05</v>
      </c>
      <c r="F67" s="11" t="n">
        <f aca="false">SUMIFS(Mensal!$F$5:$F$169,Mensal!$B$5:$B$169,$B67)</f>
        <v>878.2</v>
      </c>
      <c r="G67" s="11" t="n">
        <f aca="false">SUMIFS(Mensal!$G$5:$G$169,Mensal!$B$5:$B$169,$B67)</f>
        <v>225.6</v>
      </c>
      <c r="H67" s="11" t="n">
        <f aca="false">SUMIFS(Mensal!$H$5:$H$169,Mensal!$B$5:$B$169,$B67)</f>
        <v>11187.8</v>
      </c>
      <c r="I67" s="11" t="n">
        <f aca="false">SUMIFS(Mensal!$I$5:$I$169,Mensal!$B$5:$B$169,$B67)</f>
        <v>0</v>
      </c>
      <c r="J67" s="11" t="n">
        <f aca="false">SUM(F67:I67)</f>
        <v>12291.6</v>
      </c>
      <c r="K67" s="12" t="n">
        <f aca="false">SUMIFS(Mensal!$N$5:$N$169,Mensal!$B$5:$B$169,$B67)</f>
        <v>1720416.761</v>
      </c>
      <c r="L67" s="12" t="n">
        <f aca="false">IFERROR(K67/J67,"")</f>
        <v>139.966868511829</v>
      </c>
      <c r="M67" s="13" t="n">
        <v>-8.2627</v>
      </c>
      <c r="N67" s="13" t="n">
        <v>-42.1545</v>
      </c>
      <c r="O67" s="9" t="s">
        <v>213</v>
      </c>
    </row>
    <row r="68" customFormat="false" ht="15" hidden="false" customHeight="false" outlineLevel="0" collapsed="false">
      <c r="A68" s="9" t="s">
        <v>214</v>
      </c>
      <c r="B68" s="9" t="s">
        <v>215</v>
      </c>
      <c r="C68" s="9" t="s">
        <v>56</v>
      </c>
      <c r="D68" s="9" t="s">
        <v>177</v>
      </c>
      <c r="E68" s="10" t="n">
        <v>250</v>
      </c>
      <c r="F68" s="11" t="n">
        <f aca="false">SUMIFS(Mensal!$F$5:$F$169,Mensal!$B$5:$B$169,$B68)</f>
        <v>12.4</v>
      </c>
      <c r="G68" s="11" t="n">
        <f aca="false">SUMIFS(Mensal!$G$5:$G$169,Mensal!$B$5:$B$169,$B68)</f>
        <v>0</v>
      </c>
      <c r="H68" s="11" t="n">
        <f aca="false">SUMIFS(Mensal!$H$5:$H$169,Mensal!$B$5:$B$169,$B68)</f>
        <v>13545.5</v>
      </c>
      <c r="I68" s="11" t="n">
        <f aca="false">SUMIFS(Mensal!$I$5:$I$169,Mensal!$B$5:$B$169,$B68)</f>
        <v>0</v>
      </c>
      <c r="J68" s="11" t="n">
        <f aca="false">SUM(F68:I68)</f>
        <v>13557.9</v>
      </c>
      <c r="K68" s="12" t="n">
        <f aca="false">SUMIFS(Mensal!$N$5:$N$169,Mensal!$B$5:$B$169,$B68)</f>
        <v>1835072.484</v>
      </c>
      <c r="L68" s="12" t="n">
        <f aca="false">IFERROR(K68/J68,"")</f>
        <v>135.350790609165</v>
      </c>
      <c r="M68" s="13" t="n">
        <v>-6.9127055</v>
      </c>
      <c r="N68" s="13" t="n">
        <v>-36.9775231</v>
      </c>
      <c r="O68" s="9" t="s">
        <v>117</v>
      </c>
    </row>
    <row r="69" customFormat="false" ht="15" hidden="false" customHeight="false" outlineLevel="0" collapsed="false">
      <c r="A69" s="9" t="s">
        <v>216</v>
      </c>
      <c r="B69" s="9" t="s">
        <v>217</v>
      </c>
      <c r="C69" s="9" t="s">
        <v>56</v>
      </c>
      <c r="D69" s="9" t="s">
        <v>80</v>
      </c>
      <c r="E69" s="10" t="n">
        <v>123.001</v>
      </c>
      <c r="F69" s="11" t="n">
        <f aca="false">SUMIFS(Mensal!$F$5:$F$169,Mensal!$B$5:$B$169,$B69)</f>
        <v>254.2</v>
      </c>
      <c r="G69" s="11" t="n">
        <f aca="false">SUMIFS(Mensal!$G$5:$G$169,Mensal!$B$5:$B$169,$B69)</f>
        <v>149</v>
      </c>
      <c r="H69" s="11" t="n">
        <f aca="false">SUMIFS(Mensal!$H$5:$H$169,Mensal!$B$5:$B$169,$B69)</f>
        <v>11649.2</v>
      </c>
      <c r="I69" s="11" t="n">
        <f aca="false">SUMIFS(Mensal!$I$5:$I$169,Mensal!$B$5:$B$169,$B69)</f>
        <v>0</v>
      </c>
      <c r="J69" s="11" t="n">
        <f aca="false">SUM(F69:I69)</f>
        <v>12052.4</v>
      </c>
      <c r="K69" s="12" t="n">
        <f aca="false">SUMIFS(Mensal!$N$5:$N$169,Mensal!$B$5:$B$169,$B69)</f>
        <v>1665133.064</v>
      </c>
      <c r="L69" s="12" t="n">
        <f aca="false">IFERROR(K69/J69,"")</f>
        <v>138.157799608377</v>
      </c>
      <c r="M69" s="13" t="n">
        <v>-11.1046611</v>
      </c>
      <c r="N69" s="13" t="n">
        <v>-41.32873333</v>
      </c>
      <c r="O69" s="9" t="s">
        <v>117</v>
      </c>
    </row>
    <row r="70" customFormat="false" ht="15" hidden="false" customHeight="false" outlineLevel="0" collapsed="false">
      <c r="A70" s="9" t="s">
        <v>218</v>
      </c>
      <c r="B70" s="9" t="s">
        <v>219</v>
      </c>
      <c r="C70" s="9" t="s">
        <v>56</v>
      </c>
      <c r="D70" s="9" t="s">
        <v>61</v>
      </c>
      <c r="E70" s="10" t="n">
        <v>101.49</v>
      </c>
      <c r="F70" s="11" t="n">
        <f aca="false">SUMIFS(Mensal!$F$5:$F$169,Mensal!$B$5:$B$169,$B70)</f>
        <v>0</v>
      </c>
      <c r="G70" s="11" t="n">
        <f aca="false">SUMIFS(Mensal!$G$5:$G$169,Mensal!$B$5:$B$169,$B70)</f>
        <v>0</v>
      </c>
      <c r="H70" s="11" t="n">
        <f aca="false">SUMIFS(Mensal!$H$5:$H$169,Mensal!$B$5:$B$169,$B70)</f>
        <v>6330</v>
      </c>
      <c r="I70" s="11" t="n">
        <f aca="false">SUMIFS(Mensal!$I$5:$I$169,Mensal!$B$5:$B$169,$B70)</f>
        <v>0</v>
      </c>
      <c r="J70" s="11" t="n">
        <f aca="false">SUM(F70:I70)</f>
        <v>6330</v>
      </c>
      <c r="K70" s="12" t="n">
        <f aca="false">SUMIFS(Mensal!$N$5:$N$169,Mensal!$B$5:$B$169,$B70)</f>
        <v>882497</v>
      </c>
      <c r="L70" s="12" t="n">
        <f aca="false">IFERROR(K70/J70,"")</f>
        <v>139.415007898894</v>
      </c>
      <c r="M70" s="13" t="n">
        <v>-3.302</v>
      </c>
      <c r="N70" s="13" t="n">
        <v>-39.349</v>
      </c>
      <c r="O70" s="9" t="s">
        <v>147</v>
      </c>
    </row>
    <row r="71" customFormat="false" ht="15" hidden="false" customHeight="false" outlineLevel="0" collapsed="false">
      <c r="A71" s="9" t="s">
        <v>220</v>
      </c>
      <c r="B71" s="9" t="s">
        <v>221</v>
      </c>
      <c r="C71" s="9" t="s">
        <v>56</v>
      </c>
      <c r="D71" s="9" t="s">
        <v>57</v>
      </c>
      <c r="E71" s="10" t="n">
        <v>433.053</v>
      </c>
      <c r="F71" s="11" t="n">
        <f aca="false">SUMIFS(Mensal!$F$5:$F$169,Mensal!$B$5:$B$169,$B71)</f>
        <v>1334.1</v>
      </c>
      <c r="G71" s="11" t="n">
        <f aca="false">SUMIFS(Mensal!$G$5:$G$169,Mensal!$B$5:$B$169,$B71)</f>
        <v>137.9</v>
      </c>
      <c r="H71" s="11" t="n">
        <f aca="false">SUMIFS(Mensal!$H$5:$H$169,Mensal!$B$5:$B$169,$B71)</f>
        <v>24197.7</v>
      </c>
      <c r="I71" s="11" t="n">
        <f aca="false">SUMIFS(Mensal!$I$5:$I$169,Mensal!$B$5:$B$169,$B71)</f>
        <v>0</v>
      </c>
      <c r="J71" s="11" t="n">
        <f aca="false">SUM(F71:I71)</f>
        <v>25669.7</v>
      </c>
      <c r="K71" s="12" t="n">
        <f aca="false">SUMIFS(Mensal!$N$5:$N$169,Mensal!$B$5:$B$169,$B71)</f>
        <v>3529474.872</v>
      </c>
      <c r="L71" s="12" t="n">
        <f aca="false">IFERROR(K71/J71,"")</f>
        <v>137.495758501268</v>
      </c>
      <c r="M71" s="13" t="n">
        <v>-5.13015355343652</v>
      </c>
      <c r="N71" s="13" t="n">
        <v>-37.049659026333</v>
      </c>
      <c r="O71" s="9" t="s">
        <v>62</v>
      </c>
    </row>
    <row r="72" customFormat="false" ht="15" hidden="false" customHeight="false" outlineLevel="0" collapsed="false">
      <c r="A72" s="9" t="s">
        <v>222</v>
      </c>
      <c r="B72" s="9" t="s">
        <v>223</v>
      </c>
      <c r="C72" s="9" t="s">
        <v>56</v>
      </c>
      <c r="D72" s="9" t="s">
        <v>97</v>
      </c>
      <c r="E72" s="10" t="n">
        <v>60</v>
      </c>
      <c r="F72" s="11" t="n">
        <f aca="false">SUMIFS(Mensal!$F$5:$F$169,Mensal!$B$5:$B$169,$B72)</f>
        <v>135</v>
      </c>
      <c r="G72" s="11" t="n">
        <f aca="false">SUMIFS(Mensal!$G$5:$G$169,Mensal!$B$5:$B$169,$B72)</f>
        <v>0</v>
      </c>
      <c r="H72" s="11" t="n">
        <f aca="false">SUMIFS(Mensal!$H$5:$H$169,Mensal!$B$5:$B$169,$B72)</f>
        <v>4463.1</v>
      </c>
      <c r="I72" s="11" t="n">
        <f aca="false">SUMIFS(Mensal!$I$5:$I$169,Mensal!$B$5:$B$169,$B72)</f>
        <v>0</v>
      </c>
      <c r="J72" s="11" t="n">
        <f aca="false">SUM(F72:I72)</f>
        <v>4598.1</v>
      </c>
      <c r="K72" s="12" t="n">
        <f aca="false">SUMIFS(Mensal!$N$5:$N$169,Mensal!$B$5:$B$169,$B72)</f>
        <v>639034.886</v>
      </c>
      <c r="L72" s="12" t="n">
        <f aca="false">IFERROR(K72/J72,"")</f>
        <v>138.978031360779</v>
      </c>
      <c r="M72" s="13" t="n">
        <v>-8.025902</v>
      </c>
      <c r="N72" s="13" t="n">
        <v>-39.319785</v>
      </c>
      <c r="O72" s="9" t="s">
        <v>128</v>
      </c>
    </row>
    <row r="73" customFormat="false" ht="15" hidden="false" customHeight="false" outlineLevel="0" collapsed="false">
      <c r="A73" s="9" t="s">
        <v>224</v>
      </c>
      <c r="B73" s="9" t="s">
        <v>225</v>
      </c>
      <c r="C73" s="9" t="s">
        <v>56</v>
      </c>
      <c r="D73" s="9" t="s">
        <v>80</v>
      </c>
      <c r="E73" s="10" t="n">
        <v>94.64</v>
      </c>
      <c r="F73" s="11" t="n">
        <f aca="false">SUMIFS(Mensal!$F$5:$F$169,Mensal!$B$5:$B$169,$B73)</f>
        <v>2279</v>
      </c>
      <c r="G73" s="11" t="n">
        <f aca="false">SUMIFS(Mensal!$G$5:$G$169,Mensal!$B$5:$B$169,$B73)</f>
        <v>0</v>
      </c>
      <c r="H73" s="11" t="n">
        <f aca="false">SUMIFS(Mensal!$H$5:$H$169,Mensal!$B$5:$B$169,$B73)</f>
        <v>8887.5</v>
      </c>
      <c r="I73" s="11" t="n">
        <f aca="false">SUMIFS(Mensal!$I$5:$I$169,Mensal!$B$5:$B$169,$B73)</f>
        <v>0</v>
      </c>
      <c r="J73" s="11" t="n">
        <f aca="false">SUM(F73:I73)</f>
        <v>11166.5</v>
      </c>
      <c r="K73" s="12" t="n">
        <f aca="false">SUMIFS(Mensal!$N$5:$N$169,Mensal!$B$5:$B$169,$B73)</f>
        <v>1501745.49</v>
      </c>
      <c r="L73" s="12" t="n">
        <f aca="false">IFERROR(K73/J73,"")</f>
        <v>134.48667801012</v>
      </c>
      <c r="M73" s="13" t="n">
        <v>-12.051321</v>
      </c>
      <c r="N73" s="13" t="n">
        <v>-45.59781</v>
      </c>
      <c r="O73" s="9" t="s">
        <v>58</v>
      </c>
    </row>
    <row r="74" customFormat="false" ht="15" hidden="false" customHeight="false" outlineLevel="0" collapsed="false">
      <c r="A74" s="9" t="s">
        <v>226</v>
      </c>
      <c r="B74" s="9" t="s">
        <v>227</v>
      </c>
      <c r="C74" s="9" t="s">
        <v>56</v>
      </c>
      <c r="D74" s="9" t="s">
        <v>57</v>
      </c>
      <c r="E74" s="10" t="n">
        <v>117.54</v>
      </c>
      <c r="F74" s="11" t="n">
        <f aca="false">SUMIFS(Mensal!$F$5:$F$169,Mensal!$B$5:$B$169,$B74)</f>
        <v>63.8</v>
      </c>
      <c r="G74" s="11" t="n">
        <f aca="false">SUMIFS(Mensal!$G$5:$G$169,Mensal!$B$5:$B$169,$B74)</f>
        <v>4155.2</v>
      </c>
      <c r="H74" s="11" t="n">
        <f aca="false">SUMIFS(Mensal!$H$5:$H$169,Mensal!$B$5:$B$169,$B74)</f>
        <v>13291.9</v>
      </c>
      <c r="I74" s="11" t="n">
        <f aca="false">SUMIFS(Mensal!$I$5:$I$169,Mensal!$B$5:$B$169,$B74)</f>
        <v>0</v>
      </c>
      <c r="J74" s="11" t="n">
        <f aca="false">SUM(F74:I74)</f>
        <v>17510.9</v>
      </c>
      <c r="K74" s="12" t="n">
        <f aca="false">SUMIFS(Mensal!$N$5:$N$169,Mensal!$B$5:$B$169,$B74)</f>
        <v>2346939.119</v>
      </c>
      <c r="L74" s="12" t="n">
        <f aca="false">IFERROR(K74/J74,"")</f>
        <v>134.027326922089</v>
      </c>
      <c r="M74" s="13" t="n">
        <v>-5.8171</v>
      </c>
      <c r="N74" s="13" t="n">
        <v>-36.6406</v>
      </c>
      <c r="O74" s="9" t="s">
        <v>117</v>
      </c>
    </row>
    <row r="75" customFormat="false" ht="15" hidden="false" customHeight="false" outlineLevel="0" collapsed="false">
      <c r="A75" s="9" t="s">
        <v>228</v>
      </c>
      <c r="B75" s="9" t="s">
        <v>229</v>
      </c>
      <c r="C75" s="9" t="s">
        <v>68</v>
      </c>
      <c r="D75" s="9" t="s">
        <v>69</v>
      </c>
      <c r="E75" s="10" t="n">
        <v>681.306</v>
      </c>
      <c r="F75" s="11" t="n">
        <f aca="false">SUMIFS(Mensal!$F$5:$F$169,Mensal!$B$5:$B$169,$B75)</f>
        <v>7203</v>
      </c>
      <c r="G75" s="11" t="n">
        <f aca="false">SUMIFS(Mensal!$G$5:$G$169,Mensal!$B$5:$B$169,$B75)</f>
        <v>0</v>
      </c>
      <c r="H75" s="11" t="n">
        <f aca="false">SUMIFS(Mensal!$H$5:$H$169,Mensal!$B$5:$B$169,$B75)</f>
        <v>43458.1</v>
      </c>
      <c r="I75" s="11" t="n">
        <f aca="false">SUMIFS(Mensal!$I$5:$I$169,Mensal!$B$5:$B$169,$B75)</f>
        <v>0</v>
      </c>
      <c r="J75" s="11" t="n">
        <f aca="false">SUM(F75:I75)</f>
        <v>50661.1</v>
      </c>
      <c r="K75" s="12" t="n">
        <f aca="false">SUMIFS(Mensal!$N$5:$N$169,Mensal!$B$5:$B$169,$B75)</f>
        <v>6900374.783</v>
      </c>
      <c r="L75" s="12" t="n">
        <f aca="false">IFERROR(K75/J75,"")</f>
        <v>136.206572360253</v>
      </c>
      <c r="M75" s="13" t="n">
        <v>-15.384427</v>
      </c>
      <c r="N75" s="13" t="n">
        <v>-43.785949</v>
      </c>
      <c r="O75" s="9" t="s">
        <v>105</v>
      </c>
    </row>
    <row r="76" customFormat="false" ht="15" hidden="false" customHeight="false" outlineLevel="0" collapsed="false">
      <c r="A76" s="9" t="s">
        <v>230</v>
      </c>
      <c r="B76" s="9" t="s">
        <v>231</v>
      </c>
      <c r="C76" s="9" t="s">
        <v>56</v>
      </c>
      <c r="D76" s="9" t="s">
        <v>61</v>
      </c>
      <c r="E76" s="10" t="n">
        <v>81</v>
      </c>
      <c r="F76" s="11" t="n">
        <f aca="false">SUMIFS(Mensal!$F$5:$F$169,Mensal!$B$5:$B$169,$B76)</f>
        <v>585.1</v>
      </c>
      <c r="G76" s="11" t="n">
        <f aca="false">SUMIFS(Mensal!$G$5:$G$169,Mensal!$B$5:$B$169,$B76)</f>
        <v>968.3</v>
      </c>
      <c r="H76" s="11" t="n">
        <f aca="false">SUMIFS(Mensal!$H$5:$H$169,Mensal!$B$5:$B$169,$B76)</f>
        <v>4285.4</v>
      </c>
      <c r="I76" s="11" t="n">
        <f aca="false">SUMIFS(Mensal!$I$5:$I$169,Mensal!$B$5:$B$169,$B76)</f>
        <v>0</v>
      </c>
      <c r="J76" s="11" t="n">
        <f aca="false">SUM(F76:I76)</f>
        <v>5838.8</v>
      </c>
      <c r="K76" s="12" t="n">
        <f aca="false">SUMIFS(Mensal!$N$5:$N$169,Mensal!$B$5:$B$169,$B76)</f>
        <v>807128.168</v>
      </c>
      <c r="L76" s="12" t="n">
        <f aca="false">IFERROR(K76/J76,"")</f>
        <v>138.235282592314</v>
      </c>
      <c r="M76" s="13" t="n">
        <v>-3.9781</v>
      </c>
      <c r="N76" s="13" t="n">
        <v>-38.3939</v>
      </c>
      <c r="O76" s="9" t="s">
        <v>58</v>
      </c>
    </row>
    <row r="77" customFormat="false" ht="15" hidden="false" customHeight="false" outlineLevel="0" collapsed="false">
      <c r="A77" s="9" t="s">
        <v>232</v>
      </c>
      <c r="B77" s="9" t="s">
        <v>233</v>
      </c>
      <c r="C77" s="9" t="s">
        <v>56</v>
      </c>
      <c r="D77" s="9" t="s">
        <v>80</v>
      </c>
      <c r="E77" s="10" t="n">
        <v>415.03</v>
      </c>
      <c r="F77" s="11" t="n">
        <f aca="false">SUMIFS(Mensal!$F$5:$F$169,Mensal!$B$5:$B$169,$B77)</f>
        <v>10192.9</v>
      </c>
      <c r="G77" s="11" t="n">
        <f aca="false">SUMIFS(Mensal!$G$5:$G$169,Mensal!$B$5:$B$169,$B77)</f>
        <v>94.8</v>
      </c>
      <c r="H77" s="11" t="n">
        <f aca="false">SUMIFS(Mensal!$H$5:$H$169,Mensal!$B$5:$B$169,$B77)</f>
        <v>46336.3</v>
      </c>
      <c r="I77" s="11" t="n">
        <f aca="false">SUMIFS(Mensal!$I$5:$I$169,Mensal!$B$5:$B$169,$B77)</f>
        <v>0</v>
      </c>
      <c r="J77" s="11" t="n">
        <f aca="false">SUM(F77:I77)</f>
        <v>56624</v>
      </c>
      <c r="K77" s="12" t="n">
        <f aca="false">SUMIFS(Mensal!$N$5:$N$169,Mensal!$B$5:$B$169,$B77)</f>
        <v>7658497.665</v>
      </c>
      <c r="L77" s="12" t="n">
        <f aca="false">IFERROR(K77/J77,"")</f>
        <v>135.251795440096</v>
      </c>
      <c r="M77" s="13" t="n">
        <v>-12.23913</v>
      </c>
      <c r="N77" s="13" t="n">
        <v>-42.610434</v>
      </c>
      <c r="O77" s="9" t="s">
        <v>234</v>
      </c>
    </row>
    <row r="78" customFormat="false" ht="15" hidden="false" customHeight="false" outlineLevel="0" collapsed="false">
      <c r="A78" s="9" t="s">
        <v>235</v>
      </c>
      <c r="B78" s="9" t="s">
        <v>236</v>
      </c>
      <c r="C78" s="9" t="s">
        <v>56</v>
      </c>
      <c r="D78" s="9" t="s">
        <v>137</v>
      </c>
      <c r="E78" s="10" t="n">
        <v>213.134</v>
      </c>
      <c r="F78" s="11" t="n">
        <f aca="false">SUMIFS(Mensal!$F$5:$F$169,Mensal!$B$5:$B$169,$B78)</f>
        <v>384.2</v>
      </c>
      <c r="G78" s="11" t="n">
        <f aca="false">SUMIFS(Mensal!$G$5:$G$169,Mensal!$B$5:$B$169,$B78)</f>
        <v>0</v>
      </c>
      <c r="H78" s="11" t="n">
        <f aca="false">SUMIFS(Mensal!$H$5:$H$169,Mensal!$B$5:$B$169,$B78)</f>
        <v>10191.9</v>
      </c>
      <c r="I78" s="11" t="n">
        <f aca="false">SUMIFS(Mensal!$I$5:$I$169,Mensal!$B$5:$B$169,$B78)</f>
        <v>0</v>
      </c>
      <c r="J78" s="11" t="n">
        <f aca="false">SUM(F78:I78)</f>
        <v>10576.1</v>
      </c>
      <c r="K78" s="12" t="n">
        <f aca="false">SUMIFS(Mensal!$N$5:$N$169,Mensal!$B$5:$B$169,$B78)</f>
        <v>1467928.266</v>
      </c>
      <c r="L78" s="12" t="n">
        <f aca="false">IFERROR(K78/J78,"")</f>
        <v>138.796746059512</v>
      </c>
      <c r="M78" s="13" t="n">
        <v>-7.396478</v>
      </c>
      <c r="N78" s="13" t="n">
        <v>-40.579867</v>
      </c>
      <c r="O78" s="9" t="s">
        <v>206</v>
      </c>
    </row>
    <row r="79" customFormat="false" ht="15" hidden="false" customHeight="false" outlineLevel="0" collapsed="false">
      <c r="A79" s="9" t="s">
        <v>237</v>
      </c>
      <c r="B79" s="9" t="s">
        <v>238</v>
      </c>
      <c r="C79" s="9" t="s">
        <v>56</v>
      </c>
      <c r="D79" s="9" t="s">
        <v>80</v>
      </c>
      <c r="E79" s="10" t="n">
        <v>54</v>
      </c>
      <c r="F79" s="11" t="n">
        <f aca="false">SUMIFS(Mensal!$F$5:$F$169,Mensal!$B$5:$B$169,$B79)</f>
        <v>1596.7</v>
      </c>
      <c r="G79" s="11" t="n">
        <f aca="false">SUMIFS(Mensal!$G$5:$G$169,Mensal!$B$5:$B$169,$B79)</f>
        <v>452.8</v>
      </c>
      <c r="H79" s="11" t="n">
        <f aca="false">SUMIFS(Mensal!$H$5:$H$169,Mensal!$B$5:$B$169,$B79)</f>
        <v>5793.6</v>
      </c>
      <c r="I79" s="11" t="n">
        <f aca="false">SUMIFS(Mensal!$I$5:$I$169,Mensal!$B$5:$B$169,$B79)</f>
        <v>0</v>
      </c>
      <c r="J79" s="11" t="n">
        <f aca="false">SUM(F79:I79)</f>
        <v>7843.1</v>
      </c>
      <c r="K79" s="12" t="n">
        <f aca="false">SUMIFS(Mensal!$N$5:$N$169,Mensal!$B$5:$B$169,$B79)</f>
        <v>1051638.441</v>
      </c>
      <c r="L79" s="12" t="n">
        <f aca="false">IFERROR(K79/J79,"")</f>
        <v>134.084538129056</v>
      </c>
      <c r="M79" s="13" t="n">
        <v>-13.3164</v>
      </c>
      <c r="N79" s="13" t="n">
        <v>-43.2728</v>
      </c>
      <c r="O79" s="9" t="s">
        <v>58</v>
      </c>
    </row>
    <row r="80" customFormat="false" ht="15" hidden="false" customHeight="false" outlineLevel="0" collapsed="false">
      <c r="A80" s="9" t="s">
        <v>239</v>
      </c>
      <c r="B80" s="9" t="s">
        <v>240</v>
      </c>
      <c r="C80" s="9" t="s">
        <v>56</v>
      </c>
      <c r="D80" s="9" t="s">
        <v>97</v>
      </c>
      <c r="E80" s="10" t="n">
        <v>169.83</v>
      </c>
      <c r="F80" s="11" t="n">
        <f aca="false">SUMIFS(Mensal!$F$5:$F$169,Mensal!$B$5:$B$169,$B80)</f>
        <v>0</v>
      </c>
      <c r="G80" s="11" t="n">
        <f aca="false">SUMIFS(Mensal!$G$5:$G$169,Mensal!$B$5:$B$169,$B80)</f>
        <v>0</v>
      </c>
      <c r="H80" s="11" t="n">
        <f aca="false">SUMIFS(Mensal!$H$5:$H$169,Mensal!$B$5:$B$169,$B80)</f>
        <v>13213.9</v>
      </c>
      <c r="I80" s="11" t="n">
        <f aca="false">SUMIFS(Mensal!$I$5:$I$169,Mensal!$B$5:$B$169,$B80)</f>
        <v>0</v>
      </c>
      <c r="J80" s="11" t="n">
        <f aca="false">SUM(F80:I80)</f>
        <v>13213.9</v>
      </c>
      <c r="K80" s="12" t="n">
        <f aca="false">SUMIFS(Mensal!$N$5:$N$169,Mensal!$B$5:$B$169,$B80)</f>
        <v>1831426.359</v>
      </c>
      <c r="L80" s="12" t="n">
        <f aca="false">IFERROR(K80/J80,"")</f>
        <v>138.59847274461</v>
      </c>
      <c r="M80" s="13" t="n">
        <v>-8.333011</v>
      </c>
      <c r="N80" s="13" t="n">
        <v>-36.243219</v>
      </c>
      <c r="O80" s="9" t="s">
        <v>241</v>
      </c>
    </row>
    <row r="81" customFormat="false" ht="15" hidden="false" customHeight="false" outlineLevel="0" collapsed="false">
      <c r="A81" s="9" t="s">
        <v>242</v>
      </c>
      <c r="B81" s="9" t="s">
        <v>243</v>
      </c>
      <c r="C81" s="9" t="s">
        <v>56</v>
      </c>
      <c r="D81" s="9" t="s">
        <v>97</v>
      </c>
      <c r="E81" s="10" t="n">
        <v>10</v>
      </c>
      <c r="F81" s="11" t="n">
        <f aca="false">SUMIFS(Mensal!$F$5:$F$169,Mensal!$B$5:$B$169,$B81)</f>
        <v>5.7</v>
      </c>
      <c r="G81" s="11" t="n">
        <f aca="false">SUMIFS(Mensal!$G$5:$G$169,Mensal!$B$5:$B$169,$B81)</f>
        <v>37.5</v>
      </c>
      <c r="H81" s="11" t="n">
        <f aca="false">SUMIFS(Mensal!$H$5:$H$169,Mensal!$B$5:$B$169,$B81)</f>
        <v>1044.7</v>
      </c>
      <c r="I81" s="11" t="n">
        <f aca="false">SUMIFS(Mensal!$I$5:$I$169,Mensal!$B$5:$B$169,$B81)</f>
        <v>0</v>
      </c>
      <c r="J81" s="11" t="n">
        <f aca="false">SUM(F81:I81)</f>
        <v>1087.9</v>
      </c>
      <c r="K81" s="12" t="n">
        <f aca="false">SUMIFS(Mensal!$N$5:$N$169,Mensal!$B$5:$B$169,$B81)</f>
        <v>145052.894</v>
      </c>
      <c r="L81" s="12" t="n">
        <f aca="false">IFERROR(K81/J81,"")</f>
        <v>133.332929497196</v>
      </c>
      <c r="M81" s="13" t="n">
        <v>-9.05961896321239</v>
      </c>
      <c r="N81" s="13" t="n">
        <v>-38.1324851955171</v>
      </c>
      <c r="O81" s="9" t="s">
        <v>138</v>
      </c>
    </row>
    <row r="82" customFormat="false" ht="15" hidden="false" customHeight="false" outlineLevel="0" collapsed="false">
      <c r="A82" s="9" t="s">
        <v>244</v>
      </c>
      <c r="B82" s="9" t="s">
        <v>245</v>
      </c>
      <c r="C82" s="9" t="s">
        <v>68</v>
      </c>
      <c r="D82" s="9" t="s">
        <v>69</v>
      </c>
      <c r="E82" s="10" t="n">
        <v>70</v>
      </c>
      <c r="F82" s="11" t="n">
        <f aca="false">SUMIFS(Mensal!$F$5:$F$169,Mensal!$B$5:$B$169,$B82)</f>
        <v>0</v>
      </c>
      <c r="G82" s="11" t="n">
        <f aca="false">SUMIFS(Mensal!$G$5:$G$169,Mensal!$B$5:$B$169,$B82)</f>
        <v>0</v>
      </c>
      <c r="H82" s="11" t="n">
        <f aca="false">SUMIFS(Mensal!$H$5:$H$169,Mensal!$B$5:$B$169,$B82)</f>
        <v>1106.2</v>
      </c>
      <c r="I82" s="11" t="n">
        <f aca="false">SUMIFS(Mensal!$I$5:$I$169,Mensal!$B$5:$B$169,$B82)</f>
        <v>0</v>
      </c>
      <c r="J82" s="11" t="n">
        <f aca="false">SUM(F82:I82)</f>
        <v>1106.2</v>
      </c>
      <c r="K82" s="12" t="n">
        <f aca="false">SUMIFS(Mensal!$N$5:$N$169,Mensal!$B$5:$B$169,$B82)</f>
        <v>154907.291</v>
      </c>
      <c r="L82" s="12" t="n">
        <f aca="false">IFERROR(K82/J82,"")</f>
        <v>140.035518893509</v>
      </c>
      <c r="M82" s="13" t="n">
        <v>-18.1998</v>
      </c>
      <c r="N82" s="13" t="n">
        <v>-45.2691</v>
      </c>
      <c r="O82" s="9" t="s">
        <v>246</v>
      </c>
    </row>
    <row r="83" customFormat="false" ht="15" hidden="false" customHeight="false" outlineLevel="0" collapsed="false">
      <c r="A83" s="9" t="s">
        <v>247</v>
      </c>
      <c r="B83" s="9" t="s">
        <v>248</v>
      </c>
      <c r="C83" s="9" t="s">
        <v>68</v>
      </c>
      <c r="D83" s="9" t="s">
        <v>69</v>
      </c>
      <c r="E83" s="10" t="n">
        <v>105</v>
      </c>
      <c r="F83" s="11" t="n">
        <f aca="false">SUMIFS(Mensal!$F$5:$F$169,Mensal!$B$5:$B$169,$B83)</f>
        <v>0</v>
      </c>
      <c r="G83" s="11" t="n">
        <f aca="false">SUMIFS(Mensal!$G$5:$G$169,Mensal!$B$5:$B$169,$B83)</f>
        <v>0</v>
      </c>
      <c r="H83" s="11" t="n">
        <f aca="false">SUMIFS(Mensal!$H$5:$H$169,Mensal!$B$5:$B$169,$B83)</f>
        <v>3645</v>
      </c>
      <c r="I83" s="11" t="n">
        <f aca="false">SUMIFS(Mensal!$I$5:$I$169,Mensal!$B$5:$B$169,$B83)</f>
        <v>0</v>
      </c>
      <c r="J83" s="11" t="n">
        <f aca="false">SUM(F83:I83)</f>
        <v>3645</v>
      </c>
      <c r="K83" s="12" t="n">
        <f aca="false">SUMIFS(Mensal!$N$5:$N$169,Mensal!$B$5:$B$169,$B83)</f>
        <v>528890.445</v>
      </c>
      <c r="L83" s="12" t="n">
        <f aca="false">IFERROR(K83/J83,"")</f>
        <v>145.100259259259</v>
      </c>
      <c r="M83" s="13" t="n">
        <v>-16.131308</v>
      </c>
      <c r="N83" s="13" t="n">
        <v>-45.614461</v>
      </c>
      <c r="O83" s="9" t="s">
        <v>77</v>
      </c>
    </row>
    <row r="84" customFormat="false" ht="15" hidden="false" customHeight="false" outlineLevel="0" collapsed="false">
      <c r="A84" s="9" t="s">
        <v>249</v>
      </c>
      <c r="B84" s="9" t="s">
        <v>250</v>
      </c>
      <c r="C84" s="9" t="s">
        <v>68</v>
      </c>
      <c r="D84" s="9" t="s">
        <v>69</v>
      </c>
      <c r="E84" s="10" t="n">
        <v>90</v>
      </c>
      <c r="F84" s="11" t="n">
        <f aca="false">SUMIFS(Mensal!$F$5:$F$169,Mensal!$B$5:$B$169,$B84)</f>
        <v>0</v>
      </c>
      <c r="G84" s="11" t="n">
        <f aca="false">SUMIFS(Mensal!$G$5:$G$169,Mensal!$B$5:$B$169,$B84)</f>
        <v>0</v>
      </c>
      <c r="H84" s="11" t="n">
        <f aca="false">SUMIFS(Mensal!$H$5:$H$169,Mensal!$B$5:$B$169,$B84)</f>
        <v>6715.9</v>
      </c>
      <c r="I84" s="11" t="n">
        <f aca="false">SUMIFS(Mensal!$I$5:$I$169,Mensal!$B$5:$B$169,$B84)</f>
        <v>0</v>
      </c>
      <c r="J84" s="11" t="n">
        <f aca="false">SUM(F84:I84)</f>
        <v>6715.9</v>
      </c>
      <c r="K84" s="12" t="n">
        <f aca="false">SUMIFS(Mensal!$N$5:$N$169,Mensal!$B$5:$B$169,$B84)</f>
        <v>889500.89</v>
      </c>
      <c r="L84" s="12" t="n">
        <f aca="false">IFERROR(K84/J84,"")</f>
        <v>132.447012314061</v>
      </c>
      <c r="M84" s="13" t="n">
        <v>-17.633764</v>
      </c>
      <c r="N84" s="13" t="n">
        <v>-44.895476</v>
      </c>
      <c r="O84" s="9" t="s">
        <v>117</v>
      </c>
    </row>
    <row r="85" customFormat="false" ht="15" hidden="false" customHeight="false" outlineLevel="0" collapsed="false">
      <c r="A85" s="9" t="s">
        <v>251</v>
      </c>
      <c r="B85" s="9" t="s">
        <v>252</v>
      </c>
      <c r="C85" s="9" t="s">
        <v>68</v>
      </c>
      <c r="D85" s="9" t="s">
        <v>69</v>
      </c>
      <c r="E85" s="10" t="n">
        <v>767.573</v>
      </c>
      <c r="F85" s="11" t="n">
        <f aca="false">SUMIFS(Mensal!$F$5:$F$169,Mensal!$B$5:$B$169,$B85)</f>
        <v>10047.3</v>
      </c>
      <c r="G85" s="11" t="n">
        <f aca="false">SUMIFS(Mensal!$G$5:$G$169,Mensal!$B$5:$B$169,$B85)</f>
        <v>0</v>
      </c>
      <c r="H85" s="11" t="n">
        <f aca="false">SUMIFS(Mensal!$H$5:$H$169,Mensal!$B$5:$B$169,$B85)</f>
        <v>51297.9</v>
      </c>
      <c r="I85" s="11" t="n">
        <f aca="false">SUMIFS(Mensal!$I$5:$I$169,Mensal!$B$5:$B$169,$B85)</f>
        <v>0</v>
      </c>
      <c r="J85" s="11" t="n">
        <f aca="false">SUM(F85:I85)</f>
        <v>61345.2</v>
      </c>
      <c r="K85" s="12" t="n">
        <f aca="false">SUMIFS(Mensal!$N$5:$N$169,Mensal!$B$5:$B$169,$B85)</f>
        <v>8292395.922</v>
      </c>
      <c r="L85" s="12" t="n">
        <f aca="false">IFERROR(K85/J85,"")</f>
        <v>135.175953815457</v>
      </c>
      <c r="M85" s="13" t="n">
        <v>-15.832735</v>
      </c>
      <c r="N85" s="13" t="n">
        <v>-43.447367</v>
      </c>
      <c r="O85" s="9" t="s">
        <v>105</v>
      </c>
    </row>
    <row r="86" customFormat="false" ht="15" hidden="false" customHeight="false" outlineLevel="0" collapsed="false">
      <c r="A86" s="9" t="s">
        <v>253</v>
      </c>
      <c r="B86" s="9" t="s">
        <v>254</v>
      </c>
      <c r="C86" s="9" t="s">
        <v>56</v>
      </c>
      <c r="D86" s="9" t="s">
        <v>57</v>
      </c>
      <c r="E86" s="10" t="n">
        <v>2</v>
      </c>
      <c r="F86" s="11" t="n">
        <f aca="false">SUMIFS(Mensal!$F$5:$F$169,Mensal!$B$5:$B$169,$B86)</f>
        <v>0</v>
      </c>
      <c r="G86" s="11" t="n">
        <f aca="false">SUMIFS(Mensal!$G$5:$G$169,Mensal!$B$5:$B$169,$B86)</f>
        <v>0</v>
      </c>
      <c r="H86" s="11" t="n">
        <f aca="false">SUMIFS(Mensal!$H$5:$H$169,Mensal!$B$5:$B$169,$B86)</f>
        <v>0</v>
      </c>
      <c r="I86" s="11" t="n">
        <f aca="false">SUMIFS(Mensal!$I$5:$I$169,Mensal!$B$5:$B$169,$B86)</f>
        <v>0</v>
      </c>
      <c r="J86" s="11" t="n">
        <f aca="false">SUM(F86:I86)</f>
        <v>0</v>
      </c>
      <c r="K86" s="12" t="n">
        <f aca="false">SUMIFS(Mensal!$N$5:$N$169,Mensal!$B$5:$B$169,$B86)</f>
        <v>0</v>
      </c>
      <c r="L86" s="12" t="str">
        <f aca="false">IFERROR(K86/J86,"")</f>
        <v/>
      </c>
      <c r="M86" s="13" t="n">
        <v>-4.78638889</v>
      </c>
      <c r="N86" s="13" t="n">
        <v>-37.30555556</v>
      </c>
      <c r="O86" s="9" t="s">
        <v>62</v>
      </c>
    </row>
    <row r="87" customFormat="false" ht="15" hidden="false" customHeight="false" outlineLevel="0" collapsed="false">
      <c r="A87" s="9" t="s">
        <v>255</v>
      </c>
      <c r="B87" s="9" t="s">
        <v>256</v>
      </c>
      <c r="C87" s="9" t="s">
        <v>56</v>
      </c>
      <c r="D87" s="9" t="s">
        <v>61</v>
      </c>
      <c r="E87" s="10" t="n">
        <v>47.25</v>
      </c>
      <c r="F87" s="11" t="n">
        <f aca="false">SUMIFS(Mensal!$F$5:$F$169,Mensal!$B$5:$B$169,$B87)</f>
        <v>468.1</v>
      </c>
      <c r="G87" s="11" t="n">
        <f aca="false">SUMIFS(Mensal!$G$5:$G$169,Mensal!$B$5:$B$169,$B87)</f>
        <v>31.6</v>
      </c>
      <c r="H87" s="11" t="n">
        <f aca="false">SUMIFS(Mensal!$H$5:$H$169,Mensal!$B$5:$B$169,$B87)</f>
        <v>4783.2</v>
      </c>
      <c r="I87" s="11" t="n">
        <f aca="false">SUMIFS(Mensal!$I$5:$I$169,Mensal!$B$5:$B$169,$B87)</f>
        <v>0</v>
      </c>
      <c r="J87" s="11" t="n">
        <f aca="false">SUM(F87:I87)</f>
        <v>5282.9</v>
      </c>
      <c r="K87" s="12" t="n">
        <f aca="false">SUMIFS(Mensal!$N$5:$N$169,Mensal!$B$5:$B$169,$B87)</f>
        <v>721181.349</v>
      </c>
      <c r="L87" s="12" t="n">
        <f aca="false">IFERROR(K87/J87,"")</f>
        <v>136.512398303962</v>
      </c>
      <c r="M87" s="13" t="n">
        <v>-4.60098333</v>
      </c>
      <c r="N87" s="13" t="n">
        <v>-37.64212222</v>
      </c>
      <c r="O87" s="9" t="s">
        <v>257</v>
      </c>
    </row>
    <row r="88" customFormat="false" ht="15" hidden="false" customHeight="false" outlineLevel="0" collapsed="false">
      <c r="A88" s="9" t="s">
        <v>258</v>
      </c>
      <c r="B88" s="9" t="s">
        <v>259</v>
      </c>
      <c r="C88" s="9" t="s">
        <v>56</v>
      </c>
      <c r="D88" s="9" t="s">
        <v>137</v>
      </c>
      <c r="E88" s="10" t="n">
        <v>48.1</v>
      </c>
      <c r="F88" s="11" t="n">
        <f aca="false">SUMIFS(Mensal!$F$5:$F$169,Mensal!$B$5:$B$169,$B88)</f>
        <v>54.4</v>
      </c>
      <c r="G88" s="11" t="n">
        <f aca="false">SUMIFS(Mensal!$G$5:$G$169,Mensal!$B$5:$B$169,$B88)</f>
        <v>0</v>
      </c>
      <c r="H88" s="11" t="n">
        <f aca="false">SUMIFS(Mensal!$H$5:$H$169,Mensal!$B$5:$B$169,$B88)</f>
        <v>5500.6</v>
      </c>
      <c r="I88" s="11" t="n">
        <f aca="false">SUMIFS(Mensal!$I$5:$I$169,Mensal!$B$5:$B$169,$B88)</f>
        <v>0</v>
      </c>
      <c r="J88" s="11" t="n">
        <f aca="false">SUM(F88:I88)</f>
        <v>5555</v>
      </c>
      <c r="K88" s="12" t="n">
        <f aca="false">SUMIFS(Mensal!$N$5:$N$169,Mensal!$B$5:$B$169,$B88)</f>
        <v>762980.75</v>
      </c>
      <c r="L88" s="12" t="n">
        <f aca="false">IFERROR(K88/J88,"")</f>
        <v>137.350270027003</v>
      </c>
      <c r="M88" s="13" t="n">
        <v>-8.01500833</v>
      </c>
      <c r="N88" s="13" t="n">
        <v>-40.61032777</v>
      </c>
      <c r="O88" s="9" t="s">
        <v>102</v>
      </c>
    </row>
    <row r="89" customFormat="false" ht="15" hidden="false" customHeight="false" outlineLevel="0" collapsed="false">
      <c r="A89" s="14" t="s">
        <v>260</v>
      </c>
      <c r="F89" s="15" t="n">
        <f aca="false">SUM(F5:F88)</f>
        <v>133933.6</v>
      </c>
      <c r="G89" s="15" t="n">
        <f aca="false">SUM(G5:G88)</f>
        <v>54375.6</v>
      </c>
      <c r="H89" s="15" t="n">
        <f aca="false">SUM(H5:H88)</f>
        <v>1698688.3</v>
      </c>
      <c r="I89" s="15" t="n">
        <f aca="false">SUM(I5:I88)</f>
        <v>0</v>
      </c>
      <c r="J89" s="15" t="n">
        <f aca="false">SUM(J5:J88)</f>
        <v>1886997.5</v>
      </c>
      <c r="K89" s="16" t="n">
        <f aca="false">SUM(K5:K88)</f>
        <v>258013692.799</v>
      </c>
    </row>
  </sheetData>
  <autoFilter ref="A4:O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5"/>
  </cols>
  <sheetData>
    <row r="1" customFormat="false" ht="16.15" hidden="false" customHeight="false" outlineLevel="0" collapsed="false">
      <c r="A1" s="6" t="s">
        <v>261</v>
      </c>
    </row>
    <row r="2" customFormat="false" ht="15" hidden="false" customHeight="false" outlineLevel="0" collapsed="false">
      <c r="A2" s="7" t="s">
        <v>262</v>
      </c>
    </row>
    <row r="4" customFormat="false" ht="35.05" hidden="false" customHeight="fals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263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K4" s="8" t="s">
        <v>264</v>
      </c>
      <c r="L4" s="8" t="s">
        <v>21</v>
      </c>
      <c r="M4" s="8" t="s">
        <v>265</v>
      </c>
      <c r="N4" s="8" t="s">
        <v>23</v>
      </c>
    </row>
    <row r="5" customFormat="false" ht="15" hidden="false" customHeight="false" outlineLevel="0" collapsed="false">
      <c r="A5" s="9" t="s">
        <v>54</v>
      </c>
      <c r="B5" s="9" t="s">
        <v>55</v>
      </c>
      <c r="C5" s="9" t="s">
        <v>56</v>
      </c>
      <c r="D5" s="9" t="s">
        <v>57</v>
      </c>
      <c r="E5" s="17" t="n">
        <v>46235</v>
      </c>
      <c r="F5" s="10" t="n">
        <v>143.9</v>
      </c>
      <c r="G5" s="10" t="n">
        <v>722.2</v>
      </c>
      <c r="H5" s="10" t="n">
        <v>2245.5</v>
      </c>
      <c r="I5" s="10" t="n">
        <v>0</v>
      </c>
      <c r="J5" s="11" t="n">
        <f aca="false">SUM(F5:I5)</f>
        <v>3111.6</v>
      </c>
      <c r="K5" s="10" t="n">
        <v>6780</v>
      </c>
      <c r="L5" s="18" t="n">
        <f aca="false">IFERROR(J5/K5,"")</f>
        <v>0.458938053097345</v>
      </c>
      <c r="M5" s="19" t="n">
        <v>127.96</v>
      </c>
      <c r="N5" s="12" t="n">
        <f aca="false">J5*M5</f>
        <v>398160.336</v>
      </c>
    </row>
    <row r="6" customFormat="false" ht="15" hidden="false" customHeight="false" outlineLevel="0" collapsed="false">
      <c r="A6" s="9" t="s">
        <v>54</v>
      </c>
      <c r="B6" s="9" t="s">
        <v>55</v>
      </c>
      <c r="C6" s="9" t="s">
        <v>56</v>
      </c>
      <c r="D6" s="9" t="s">
        <v>57</v>
      </c>
      <c r="E6" s="17" t="n">
        <v>46266</v>
      </c>
      <c r="F6" s="10" t="n">
        <v>0</v>
      </c>
      <c r="G6" s="10" t="n">
        <v>82.2</v>
      </c>
      <c r="H6" s="10" t="n">
        <v>476.4</v>
      </c>
      <c r="I6" s="10" t="n">
        <v>0</v>
      </c>
      <c r="J6" s="11" t="n">
        <f aca="false">SUM(F6:I6)</f>
        <v>558.6</v>
      </c>
      <c r="K6" s="10" t="n">
        <v>1733</v>
      </c>
      <c r="L6" s="18" t="n">
        <f aca="false">IFERROR(J6/K6,"")</f>
        <v>0.322331217541835</v>
      </c>
      <c r="M6" s="19" t="n">
        <v>180.81</v>
      </c>
      <c r="N6" s="12" t="n">
        <f aca="false">J6*M6</f>
        <v>101000.466</v>
      </c>
    </row>
    <row r="7" customFormat="false" ht="15" hidden="false" customHeight="false" outlineLevel="0" collapsed="false">
      <c r="A7" s="9" t="s">
        <v>59</v>
      </c>
      <c r="B7" s="9" t="s">
        <v>60</v>
      </c>
      <c r="C7" s="9" t="s">
        <v>56</v>
      </c>
      <c r="D7" s="9" t="s">
        <v>61</v>
      </c>
      <c r="E7" s="17" t="n">
        <v>46235</v>
      </c>
      <c r="F7" s="10" t="n">
        <v>9</v>
      </c>
      <c r="G7" s="10" t="n">
        <v>0</v>
      </c>
      <c r="H7" s="10" t="n">
        <v>8821.7</v>
      </c>
      <c r="I7" s="10" t="n">
        <v>0</v>
      </c>
      <c r="J7" s="11" t="n">
        <f aca="false">SUM(F7:I7)</f>
        <v>8830.7</v>
      </c>
      <c r="K7" s="10" t="n">
        <v>39179</v>
      </c>
      <c r="L7" s="18" t="n">
        <f aca="false">IFERROR(J7/K7,"")</f>
        <v>0.225393705811787</v>
      </c>
      <c r="M7" s="19" t="n">
        <v>127.96</v>
      </c>
      <c r="N7" s="12" t="n">
        <f aca="false">J7*M7</f>
        <v>1129976.372</v>
      </c>
    </row>
    <row r="8" customFormat="false" ht="15" hidden="false" customHeight="false" outlineLevel="0" collapsed="false">
      <c r="A8" s="9" t="s">
        <v>59</v>
      </c>
      <c r="B8" s="9" t="s">
        <v>60</v>
      </c>
      <c r="C8" s="9" t="s">
        <v>56</v>
      </c>
      <c r="D8" s="9" t="s">
        <v>61</v>
      </c>
      <c r="E8" s="17" t="n">
        <v>46266</v>
      </c>
      <c r="F8" s="10" t="n">
        <v>0</v>
      </c>
      <c r="G8" s="10" t="n">
        <v>0</v>
      </c>
      <c r="H8" s="10" t="n">
        <v>2962.8</v>
      </c>
      <c r="I8" s="10" t="n">
        <v>0</v>
      </c>
      <c r="J8" s="11" t="n">
        <f aca="false">SUM(F8:I8)</f>
        <v>2962.8</v>
      </c>
      <c r="K8" s="10" t="n">
        <v>9241</v>
      </c>
      <c r="L8" s="18" t="n">
        <f aca="false">IFERROR(J8/K8,"")</f>
        <v>0.320614652093929</v>
      </c>
      <c r="M8" s="19" t="n">
        <v>180.81</v>
      </c>
      <c r="N8" s="12" t="n">
        <f aca="false">J8*M8</f>
        <v>535703.868</v>
      </c>
    </row>
    <row r="9" customFormat="false" ht="15" hidden="false" customHeight="false" outlineLevel="0" collapsed="false">
      <c r="A9" s="9" t="s">
        <v>63</v>
      </c>
      <c r="B9" s="9" t="s">
        <v>64</v>
      </c>
      <c r="C9" s="9" t="s">
        <v>56</v>
      </c>
      <c r="D9" s="9" t="s">
        <v>61</v>
      </c>
      <c r="E9" s="17" t="n">
        <v>46235</v>
      </c>
      <c r="F9" s="10" t="n">
        <v>2547.9</v>
      </c>
      <c r="G9" s="10" t="n">
        <v>0</v>
      </c>
      <c r="H9" s="10" t="n">
        <v>13331.7</v>
      </c>
      <c r="I9" s="10" t="n">
        <v>0</v>
      </c>
      <c r="J9" s="11" t="n">
        <f aca="false">SUM(F9:I9)</f>
        <v>15879.6</v>
      </c>
      <c r="K9" s="10" t="n">
        <v>65658</v>
      </c>
      <c r="L9" s="18" t="n">
        <f aca="false">IFERROR(J9/K9,"")</f>
        <v>0.241853239513844</v>
      </c>
      <c r="M9" s="19" t="n">
        <v>127.96</v>
      </c>
      <c r="N9" s="12" t="n">
        <f aca="false">J9*M9</f>
        <v>2031953.616</v>
      </c>
    </row>
    <row r="10" customFormat="false" ht="15" hidden="false" customHeight="false" outlineLevel="0" collapsed="false">
      <c r="A10" s="9" t="s">
        <v>63</v>
      </c>
      <c r="B10" s="9" t="s">
        <v>64</v>
      </c>
      <c r="C10" s="9" t="s">
        <v>56</v>
      </c>
      <c r="D10" s="9" t="s">
        <v>61</v>
      </c>
      <c r="E10" s="17" t="n">
        <v>46266</v>
      </c>
      <c r="F10" s="10" t="n">
        <v>0</v>
      </c>
      <c r="G10" s="10" t="n">
        <v>0</v>
      </c>
      <c r="H10" s="10" t="n">
        <v>3597</v>
      </c>
      <c r="I10" s="10" t="n">
        <v>0</v>
      </c>
      <c r="J10" s="11" t="n">
        <f aca="false">SUM(F10:I10)</f>
        <v>3597</v>
      </c>
      <c r="K10" s="10" t="n">
        <v>15177</v>
      </c>
      <c r="L10" s="18" t="n">
        <f aca="false">IFERROR(J10/K10,"")</f>
        <v>0.237003360347895</v>
      </c>
      <c r="M10" s="19" t="n">
        <v>180.81</v>
      </c>
      <c r="N10" s="12" t="n">
        <f aca="false">J10*M10</f>
        <v>650373.57</v>
      </c>
    </row>
    <row r="11" customFormat="false" ht="15" hidden="false" customHeight="false" outlineLevel="0" collapsed="false">
      <c r="A11" s="9" t="s">
        <v>66</v>
      </c>
      <c r="B11" s="9" t="s">
        <v>67</v>
      </c>
      <c r="C11" s="9" t="s">
        <v>68</v>
      </c>
      <c r="D11" s="9" t="s">
        <v>69</v>
      </c>
      <c r="E11" s="17" t="n">
        <v>46235</v>
      </c>
      <c r="F11" s="10" t="n">
        <v>0</v>
      </c>
      <c r="G11" s="10" t="n">
        <v>0</v>
      </c>
      <c r="H11" s="10" t="n">
        <v>7677.2</v>
      </c>
      <c r="I11" s="10" t="n">
        <v>0</v>
      </c>
      <c r="J11" s="11" t="n">
        <f aca="false">SUM(F11:I11)</f>
        <v>7677.2</v>
      </c>
      <c r="K11" s="10" t="n">
        <v>20272</v>
      </c>
      <c r="L11" s="18" t="n">
        <f aca="false">IFERROR(J11/K11,"")</f>
        <v>0.37870955011839</v>
      </c>
      <c r="M11" s="19" t="n">
        <v>129.26</v>
      </c>
      <c r="N11" s="12" t="n">
        <f aca="false">J11*M11</f>
        <v>992354.872</v>
      </c>
    </row>
    <row r="12" customFormat="false" ht="15" hidden="false" customHeight="false" outlineLevel="0" collapsed="false">
      <c r="A12" s="9" t="s">
        <v>66</v>
      </c>
      <c r="B12" s="9" t="s">
        <v>67</v>
      </c>
      <c r="C12" s="9" t="s">
        <v>68</v>
      </c>
      <c r="D12" s="9" t="s">
        <v>69</v>
      </c>
      <c r="E12" s="17" t="n">
        <v>46266</v>
      </c>
      <c r="F12" s="10" t="n">
        <v>0</v>
      </c>
      <c r="G12" s="10" t="n">
        <v>0</v>
      </c>
      <c r="H12" s="10" t="n">
        <v>1402.9</v>
      </c>
      <c r="I12" s="10" t="n">
        <v>0</v>
      </c>
      <c r="J12" s="11" t="n">
        <f aca="false">SUM(F12:I12)</f>
        <v>1402.9</v>
      </c>
      <c r="K12" s="10" t="n">
        <v>3874</v>
      </c>
      <c r="L12" s="18" t="n">
        <f aca="false">IFERROR(J12/K12,"")</f>
        <v>0.362132163138875</v>
      </c>
      <c r="M12" s="19" t="n">
        <v>182.45</v>
      </c>
      <c r="N12" s="12" t="n">
        <f aca="false">J12*M12</f>
        <v>255959.105</v>
      </c>
    </row>
    <row r="13" customFormat="false" ht="15" hidden="false" customHeight="false" outlineLevel="0" collapsed="false">
      <c r="A13" s="9" t="s">
        <v>71</v>
      </c>
      <c r="B13" s="9" t="s">
        <v>72</v>
      </c>
      <c r="C13" s="9" t="s">
        <v>68</v>
      </c>
      <c r="D13" s="9" t="s">
        <v>69</v>
      </c>
      <c r="E13" s="17" t="n">
        <v>46235</v>
      </c>
      <c r="F13" s="10" t="n">
        <v>81.6</v>
      </c>
      <c r="G13" s="10" t="n">
        <v>0</v>
      </c>
      <c r="H13" s="10" t="n">
        <v>79729.6</v>
      </c>
      <c r="I13" s="10" t="n">
        <v>0</v>
      </c>
      <c r="J13" s="11" t="n">
        <f aca="false">SUM(F13:I13)</f>
        <v>79811.2</v>
      </c>
      <c r="K13" s="10" t="n">
        <v>287941</v>
      </c>
      <c r="L13" s="18" t="n">
        <f aca="false">IFERROR(J13/K13,"")</f>
        <v>0.27717900542125</v>
      </c>
      <c r="M13" s="19" t="n">
        <v>129.26</v>
      </c>
      <c r="N13" s="12" t="n">
        <f aca="false">J13*M13</f>
        <v>10316395.712</v>
      </c>
    </row>
    <row r="14" customFormat="false" ht="15" hidden="false" customHeight="false" outlineLevel="0" collapsed="false">
      <c r="A14" s="9" t="s">
        <v>71</v>
      </c>
      <c r="B14" s="9" t="s">
        <v>72</v>
      </c>
      <c r="C14" s="9" t="s">
        <v>68</v>
      </c>
      <c r="D14" s="9" t="s">
        <v>69</v>
      </c>
      <c r="E14" s="17" t="n">
        <v>46266</v>
      </c>
      <c r="F14" s="10" t="n">
        <v>0</v>
      </c>
      <c r="G14" s="10" t="n">
        <v>0</v>
      </c>
      <c r="H14" s="10" t="n">
        <v>20397.5</v>
      </c>
      <c r="I14" s="10" t="n">
        <v>0</v>
      </c>
      <c r="J14" s="11" t="n">
        <f aca="false">SUM(F14:I14)</f>
        <v>20397.5</v>
      </c>
      <c r="K14" s="10" t="n">
        <v>57310</v>
      </c>
      <c r="L14" s="18" t="n">
        <f aca="false">IFERROR(J14/K14,"")</f>
        <v>0.355915198045716</v>
      </c>
      <c r="M14" s="19" t="n">
        <v>182.45</v>
      </c>
      <c r="N14" s="12" t="n">
        <f aca="false">J14*M14</f>
        <v>3721523.875</v>
      </c>
    </row>
    <row r="15" customFormat="false" ht="15" hidden="false" customHeight="false" outlineLevel="0" collapsed="false">
      <c r="A15" s="9" t="s">
        <v>73</v>
      </c>
      <c r="B15" s="9" t="s">
        <v>74</v>
      </c>
      <c r="C15" s="9" t="s">
        <v>56</v>
      </c>
      <c r="D15" s="9" t="s">
        <v>57</v>
      </c>
      <c r="E15" s="17" t="n">
        <v>46235</v>
      </c>
      <c r="F15" s="10" t="n">
        <v>2729.5</v>
      </c>
      <c r="G15" s="10" t="n">
        <v>15000.9</v>
      </c>
      <c r="H15" s="10" t="n">
        <v>56979.8</v>
      </c>
      <c r="I15" s="10" t="n">
        <v>0</v>
      </c>
      <c r="J15" s="11" t="n">
        <f aca="false">SUM(F15:I15)</f>
        <v>74710.2</v>
      </c>
      <c r="K15" s="10" t="n">
        <v>171861</v>
      </c>
      <c r="L15" s="18" t="n">
        <f aca="false">IFERROR(J15/K15,"")</f>
        <v>0.434712936617383</v>
      </c>
      <c r="M15" s="19" t="n">
        <v>127.96</v>
      </c>
      <c r="N15" s="12" t="n">
        <f aca="false">J15*M15</f>
        <v>9559917.192</v>
      </c>
    </row>
    <row r="16" customFormat="false" ht="15" hidden="false" customHeight="false" outlineLevel="0" collapsed="false">
      <c r="A16" s="9" t="s">
        <v>73</v>
      </c>
      <c r="B16" s="9" t="s">
        <v>74</v>
      </c>
      <c r="C16" s="9" t="s">
        <v>56</v>
      </c>
      <c r="D16" s="9" t="s">
        <v>57</v>
      </c>
      <c r="E16" s="17" t="n">
        <v>46266</v>
      </c>
      <c r="F16" s="10" t="n">
        <v>0</v>
      </c>
      <c r="G16" s="10" t="n">
        <v>1073.1</v>
      </c>
      <c r="H16" s="10" t="n">
        <v>9813.7</v>
      </c>
      <c r="I16" s="10" t="n">
        <v>0</v>
      </c>
      <c r="J16" s="11" t="n">
        <f aca="false">SUM(F16:I16)</f>
        <v>10886.8</v>
      </c>
      <c r="K16" s="10" t="n">
        <v>42315</v>
      </c>
      <c r="L16" s="18" t="n">
        <f aca="false">IFERROR(J16/K16,"")</f>
        <v>0.257279924376699</v>
      </c>
      <c r="M16" s="19" t="n">
        <v>180.81</v>
      </c>
      <c r="N16" s="12" t="n">
        <f aca="false">J16*M16</f>
        <v>1968442.308</v>
      </c>
    </row>
    <row r="17" customFormat="false" ht="15" hidden="false" customHeight="false" outlineLevel="0" collapsed="false">
      <c r="A17" s="9" t="s">
        <v>75</v>
      </c>
      <c r="B17" s="9" t="s">
        <v>76</v>
      </c>
      <c r="C17" s="9" t="s">
        <v>56</v>
      </c>
      <c r="D17" s="9" t="s">
        <v>57</v>
      </c>
      <c r="E17" s="17" t="n">
        <v>46235</v>
      </c>
      <c r="F17" s="10" t="n">
        <v>2102.6</v>
      </c>
      <c r="G17" s="10" t="n">
        <v>9275.1</v>
      </c>
      <c r="H17" s="10" t="n">
        <v>34504.5</v>
      </c>
      <c r="I17" s="10" t="n">
        <v>0</v>
      </c>
      <c r="J17" s="11" t="n">
        <f aca="false">SUM(F17:I17)</f>
        <v>45882.2</v>
      </c>
      <c r="K17" s="10" t="n">
        <v>100398</v>
      </c>
      <c r="L17" s="18" t="n">
        <f aca="false">IFERROR(J17/K17,"")</f>
        <v>0.457003127552342</v>
      </c>
      <c r="M17" s="19" t="n">
        <v>127.96</v>
      </c>
      <c r="N17" s="12" t="n">
        <f aca="false">J17*M17</f>
        <v>5871086.312</v>
      </c>
    </row>
    <row r="18" customFormat="false" ht="15" hidden="false" customHeight="false" outlineLevel="0" collapsed="false">
      <c r="A18" s="9" t="s">
        <v>75</v>
      </c>
      <c r="B18" s="9" t="s">
        <v>76</v>
      </c>
      <c r="C18" s="9" t="s">
        <v>56</v>
      </c>
      <c r="D18" s="9" t="s">
        <v>57</v>
      </c>
      <c r="E18" s="17" t="n">
        <v>46266</v>
      </c>
      <c r="F18" s="10" t="n">
        <v>0</v>
      </c>
      <c r="G18" s="10" t="n">
        <v>632</v>
      </c>
      <c r="H18" s="10" t="n">
        <v>1965.9</v>
      </c>
      <c r="I18" s="10" t="n">
        <v>0</v>
      </c>
      <c r="J18" s="11" t="n">
        <f aca="false">SUM(F18:I18)</f>
        <v>2597.9</v>
      </c>
      <c r="K18" s="10" t="n">
        <v>18872</v>
      </c>
      <c r="L18" s="18" t="n">
        <f aca="false">IFERROR(J18/K18,"")</f>
        <v>0.137658965663417</v>
      </c>
      <c r="M18" s="19" t="n">
        <v>180.81</v>
      </c>
      <c r="N18" s="12" t="n">
        <f aca="false">J18*M18</f>
        <v>469726.299</v>
      </c>
    </row>
    <row r="19" customFormat="false" ht="15" hidden="false" customHeight="false" outlineLevel="0" collapsed="false">
      <c r="A19" s="9" t="s">
        <v>78</v>
      </c>
      <c r="B19" s="9" t="s">
        <v>79</v>
      </c>
      <c r="C19" s="9" t="s">
        <v>56</v>
      </c>
      <c r="D19" s="9" t="s">
        <v>80</v>
      </c>
      <c r="E19" s="17" t="n">
        <v>46235</v>
      </c>
      <c r="F19" s="10" t="n">
        <v>1039.2</v>
      </c>
      <c r="G19" s="10" t="n">
        <v>304.9</v>
      </c>
      <c r="H19" s="10" t="n">
        <v>3826</v>
      </c>
      <c r="I19" s="10" t="n">
        <v>0</v>
      </c>
      <c r="J19" s="11" t="n">
        <f aca="false">SUM(F19:I19)</f>
        <v>5170.1</v>
      </c>
      <c r="K19" s="10" t="n">
        <v>8887</v>
      </c>
      <c r="L19" s="18" t="n">
        <f aca="false">IFERROR(J19/K19,"")</f>
        <v>0.581759873973219</v>
      </c>
      <c r="M19" s="19" t="n">
        <v>127.96</v>
      </c>
      <c r="N19" s="12" t="n">
        <f aca="false">J19*M19</f>
        <v>661565.996</v>
      </c>
    </row>
    <row r="20" customFormat="false" ht="15" hidden="false" customHeight="false" outlineLevel="0" collapsed="false">
      <c r="A20" s="9" t="s">
        <v>78</v>
      </c>
      <c r="B20" s="9" t="s">
        <v>79</v>
      </c>
      <c r="C20" s="9" t="s">
        <v>56</v>
      </c>
      <c r="D20" s="9" t="s">
        <v>80</v>
      </c>
      <c r="E20" s="17" t="n">
        <v>46266</v>
      </c>
      <c r="F20" s="10" t="n">
        <v>61.5</v>
      </c>
      <c r="G20" s="10" t="n">
        <v>25.7</v>
      </c>
      <c r="H20" s="10" t="n">
        <v>692.2</v>
      </c>
      <c r="I20" s="10" t="n">
        <v>0</v>
      </c>
      <c r="J20" s="11" t="n">
        <f aca="false">SUM(F20:I20)</f>
        <v>779.4</v>
      </c>
      <c r="K20" s="10" t="n">
        <v>1979</v>
      </c>
      <c r="L20" s="18" t="n">
        <f aca="false">IFERROR(J20/K20,"")</f>
        <v>0.393835270338555</v>
      </c>
      <c r="M20" s="19" t="n">
        <v>180.81</v>
      </c>
      <c r="N20" s="12" t="n">
        <f aca="false">J20*M20</f>
        <v>140923.314</v>
      </c>
    </row>
    <row r="21" customFormat="false" ht="15" hidden="false" customHeight="false" outlineLevel="0" collapsed="false">
      <c r="A21" s="9" t="s">
        <v>81</v>
      </c>
      <c r="B21" s="9" t="s">
        <v>82</v>
      </c>
      <c r="C21" s="9" t="s">
        <v>56</v>
      </c>
      <c r="D21" s="9" t="s">
        <v>80</v>
      </c>
      <c r="E21" s="17" t="n">
        <v>46235</v>
      </c>
      <c r="F21" s="10" t="n">
        <v>510.9</v>
      </c>
      <c r="G21" s="10" t="n">
        <v>396.2</v>
      </c>
      <c r="H21" s="10" t="n">
        <v>15746.5</v>
      </c>
      <c r="I21" s="10" t="n">
        <v>0</v>
      </c>
      <c r="J21" s="11" t="n">
        <f aca="false">SUM(F21:I21)</f>
        <v>16653.6</v>
      </c>
      <c r="K21" s="10" t="n">
        <v>46723</v>
      </c>
      <c r="L21" s="18" t="n">
        <f aca="false">IFERROR(J21/K21,"")</f>
        <v>0.356432592085268</v>
      </c>
      <c r="M21" s="19" t="n">
        <v>127.96</v>
      </c>
      <c r="N21" s="12" t="n">
        <f aca="false">J21*M21</f>
        <v>2130994.656</v>
      </c>
    </row>
    <row r="22" customFormat="false" ht="15" hidden="false" customHeight="false" outlineLevel="0" collapsed="false">
      <c r="A22" s="9" t="s">
        <v>81</v>
      </c>
      <c r="B22" s="9" t="s">
        <v>82</v>
      </c>
      <c r="C22" s="9" t="s">
        <v>56</v>
      </c>
      <c r="D22" s="9" t="s">
        <v>80</v>
      </c>
      <c r="E22" s="17" t="n">
        <v>46266</v>
      </c>
      <c r="F22" s="10" t="n">
        <v>0</v>
      </c>
      <c r="G22" s="10" t="n">
        <v>0</v>
      </c>
      <c r="H22" s="10" t="n">
        <v>3545.9</v>
      </c>
      <c r="I22" s="10" t="n">
        <v>0</v>
      </c>
      <c r="J22" s="11" t="n">
        <f aca="false">SUM(F22:I22)</f>
        <v>3545.9</v>
      </c>
      <c r="K22" s="10" t="n">
        <v>10593</v>
      </c>
      <c r="L22" s="18" t="n">
        <f aca="false">IFERROR(J22/K22,"")</f>
        <v>0.33473992259039</v>
      </c>
      <c r="M22" s="19" t="n">
        <v>180.81</v>
      </c>
      <c r="N22" s="12" t="n">
        <f aca="false">J22*M22</f>
        <v>641134.179</v>
      </c>
    </row>
    <row r="23" customFormat="false" ht="15" hidden="false" customHeight="false" outlineLevel="0" collapsed="false">
      <c r="A23" s="9" t="s">
        <v>84</v>
      </c>
      <c r="B23" s="9" t="s">
        <v>85</v>
      </c>
      <c r="C23" s="9" t="s">
        <v>56</v>
      </c>
      <c r="D23" s="9" t="s">
        <v>80</v>
      </c>
      <c r="E23" s="17" t="n">
        <v>46235</v>
      </c>
      <c r="F23" s="10" t="n">
        <v>31.6</v>
      </c>
      <c r="G23" s="10" t="n">
        <v>187.2</v>
      </c>
      <c r="H23" s="10" t="n">
        <v>7293.9</v>
      </c>
      <c r="I23" s="10" t="n">
        <v>0</v>
      </c>
      <c r="J23" s="11" t="n">
        <f aca="false">SUM(F23:I23)</f>
        <v>7512.7</v>
      </c>
      <c r="K23" s="10" t="n">
        <v>21582</v>
      </c>
      <c r="L23" s="18" t="n">
        <f aca="false">IFERROR(J23/K23,"")</f>
        <v>0.348100268742471</v>
      </c>
      <c r="M23" s="19" t="n">
        <v>127.96</v>
      </c>
      <c r="N23" s="12" t="n">
        <f aca="false">J23*M23</f>
        <v>961325.092</v>
      </c>
    </row>
    <row r="24" customFormat="false" ht="15" hidden="false" customHeight="false" outlineLevel="0" collapsed="false">
      <c r="A24" s="9" t="s">
        <v>84</v>
      </c>
      <c r="B24" s="9" t="s">
        <v>85</v>
      </c>
      <c r="C24" s="9" t="s">
        <v>56</v>
      </c>
      <c r="D24" s="9" t="s">
        <v>80</v>
      </c>
      <c r="E24" s="17" t="n">
        <v>46266</v>
      </c>
      <c r="F24" s="10" t="n">
        <v>0</v>
      </c>
      <c r="G24" s="10" t="n">
        <v>0</v>
      </c>
      <c r="H24" s="10" t="n">
        <v>1494.5</v>
      </c>
      <c r="I24" s="10" t="n">
        <v>0</v>
      </c>
      <c r="J24" s="11" t="n">
        <f aca="false">SUM(F24:I24)</f>
        <v>1494.5</v>
      </c>
      <c r="K24" s="10" t="n">
        <v>4843</v>
      </c>
      <c r="L24" s="18" t="n">
        <f aca="false">IFERROR(J24/K24,"")</f>
        <v>0.308589717117489</v>
      </c>
      <c r="M24" s="19" t="n">
        <v>180.81</v>
      </c>
      <c r="N24" s="12" t="n">
        <f aca="false">J24*M24</f>
        <v>270220.545</v>
      </c>
    </row>
    <row r="25" customFormat="false" ht="15" hidden="false" customHeight="false" outlineLevel="0" collapsed="false">
      <c r="A25" s="9" t="s">
        <v>86</v>
      </c>
      <c r="B25" s="9" t="s">
        <v>87</v>
      </c>
      <c r="C25" s="9" t="s">
        <v>56</v>
      </c>
      <c r="D25" s="9" t="s">
        <v>61</v>
      </c>
      <c r="E25" s="17" t="n">
        <v>46235</v>
      </c>
      <c r="F25" s="10" t="n">
        <v>2344.6</v>
      </c>
      <c r="G25" s="10" t="n">
        <v>934.6</v>
      </c>
      <c r="H25" s="10" t="n">
        <v>13927.4</v>
      </c>
      <c r="I25" s="10" t="n">
        <v>0</v>
      </c>
      <c r="J25" s="11" t="n">
        <f aca="false">SUM(F25:I25)</f>
        <v>17206.6</v>
      </c>
      <c r="K25" s="10" t="n">
        <v>55591</v>
      </c>
      <c r="L25" s="18" t="n">
        <f aca="false">IFERROR(J25/K25,"")</f>
        <v>0.309521325394398</v>
      </c>
      <c r="M25" s="19" t="n">
        <v>127.96</v>
      </c>
      <c r="N25" s="12" t="n">
        <f aca="false">J25*M25</f>
        <v>2201756.536</v>
      </c>
    </row>
    <row r="26" customFormat="false" ht="15" hidden="false" customHeight="false" outlineLevel="0" collapsed="false">
      <c r="A26" s="9" t="s">
        <v>86</v>
      </c>
      <c r="B26" s="9" t="s">
        <v>87</v>
      </c>
      <c r="C26" s="9" t="s">
        <v>56</v>
      </c>
      <c r="D26" s="9" t="s">
        <v>61</v>
      </c>
      <c r="E26" s="17" t="n">
        <v>46266</v>
      </c>
      <c r="F26" s="10" t="n">
        <v>0</v>
      </c>
      <c r="G26" s="10" t="n">
        <v>0</v>
      </c>
      <c r="H26" s="10" t="n">
        <v>4000.4</v>
      </c>
      <c r="I26" s="10" t="n">
        <v>0</v>
      </c>
      <c r="J26" s="11" t="n">
        <f aca="false">SUM(F26:I26)</f>
        <v>4000.4</v>
      </c>
      <c r="K26" s="10" t="n">
        <v>12322</v>
      </c>
      <c r="L26" s="18" t="n">
        <f aca="false">IFERROR(J26/K26,"")</f>
        <v>0.324655088459666</v>
      </c>
      <c r="M26" s="19" t="n">
        <v>180.81</v>
      </c>
      <c r="N26" s="12" t="n">
        <f aca="false">J26*M26</f>
        <v>723312.324</v>
      </c>
    </row>
    <row r="27" customFormat="false" ht="15" hidden="false" customHeight="false" outlineLevel="0" collapsed="false">
      <c r="A27" s="9" t="s">
        <v>89</v>
      </c>
      <c r="B27" s="9" t="s">
        <v>90</v>
      </c>
      <c r="C27" s="9" t="s">
        <v>56</v>
      </c>
      <c r="D27" s="9" t="s">
        <v>80</v>
      </c>
      <c r="E27" s="17" t="n">
        <v>46235</v>
      </c>
      <c r="F27" s="10" t="n">
        <v>11632</v>
      </c>
      <c r="G27" s="10" t="n">
        <v>0</v>
      </c>
      <c r="H27" s="10" t="n">
        <v>41683.8</v>
      </c>
      <c r="I27" s="10" t="n">
        <v>0</v>
      </c>
      <c r="J27" s="11" t="n">
        <f aca="false">SUM(F27:I27)</f>
        <v>53315.8</v>
      </c>
      <c r="K27" s="10" t="n">
        <v>92276</v>
      </c>
      <c r="L27" s="18" t="n">
        <f aca="false">IFERROR(J27/K27,"")</f>
        <v>0.577786206597599</v>
      </c>
      <c r="M27" s="19" t="n">
        <v>127.96</v>
      </c>
      <c r="N27" s="12" t="n">
        <f aca="false">J27*M27</f>
        <v>6822289.768</v>
      </c>
    </row>
    <row r="28" customFormat="false" ht="15" hidden="false" customHeight="false" outlineLevel="0" collapsed="false">
      <c r="A28" s="9" t="s">
        <v>89</v>
      </c>
      <c r="B28" s="9" t="s">
        <v>90</v>
      </c>
      <c r="C28" s="9" t="s">
        <v>56</v>
      </c>
      <c r="D28" s="9" t="s">
        <v>80</v>
      </c>
      <c r="E28" s="17" t="n">
        <v>46266</v>
      </c>
      <c r="F28" s="10" t="n">
        <v>618.2</v>
      </c>
      <c r="G28" s="10" t="n">
        <v>0</v>
      </c>
      <c r="H28" s="10" t="n">
        <v>6549.5</v>
      </c>
      <c r="I28" s="10" t="n">
        <v>0</v>
      </c>
      <c r="J28" s="11" t="n">
        <f aca="false">SUM(F28:I28)</f>
        <v>7167.7</v>
      </c>
      <c r="K28" s="10" t="n">
        <v>18426</v>
      </c>
      <c r="L28" s="18" t="n">
        <f aca="false">IFERROR(J28/K28,"")</f>
        <v>0.388999240204059</v>
      </c>
      <c r="M28" s="19" t="n">
        <v>180.81</v>
      </c>
      <c r="N28" s="12" t="n">
        <f aca="false">J28*M28</f>
        <v>1295991.837</v>
      </c>
    </row>
    <row r="29" customFormat="false" ht="15" hidden="false" customHeight="false" outlineLevel="0" collapsed="false">
      <c r="A29" s="9" t="s">
        <v>92</v>
      </c>
      <c r="B29" s="9" t="s">
        <v>93</v>
      </c>
      <c r="C29" s="9" t="s">
        <v>68</v>
      </c>
      <c r="D29" s="9" t="s">
        <v>94</v>
      </c>
      <c r="E29" s="17" t="n">
        <v>46235</v>
      </c>
      <c r="F29" s="10" t="n">
        <v>455.8</v>
      </c>
      <c r="G29" s="10" t="n">
        <v>0</v>
      </c>
      <c r="H29" s="10" t="n">
        <v>26700.2</v>
      </c>
      <c r="I29" s="10" t="n">
        <v>0</v>
      </c>
      <c r="J29" s="11" t="n">
        <f aca="false">SUM(F29:I29)</f>
        <v>27156</v>
      </c>
      <c r="K29" s="10" t="n">
        <v>89488</v>
      </c>
      <c r="L29" s="18" t="n">
        <f aca="false">IFERROR(J29/K29,"")</f>
        <v>0.303459681745038</v>
      </c>
      <c r="M29" s="19" t="n">
        <v>129.26</v>
      </c>
      <c r="N29" s="12" t="n">
        <f aca="false">J29*M29</f>
        <v>3510184.56</v>
      </c>
    </row>
    <row r="30" customFormat="false" ht="15" hidden="false" customHeight="false" outlineLevel="0" collapsed="false">
      <c r="A30" s="9" t="s">
        <v>92</v>
      </c>
      <c r="B30" s="9" t="s">
        <v>93</v>
      </c>
      <c r="C30" s="9" t="s">
        <v>68</v>
      </c>
      <c r="D30" s="9" t="s">
        <v>94</v>
      </c>
      <c r="E30" s="17" t="n">
        <v>46266</v>
      </c>
      <c r="F30" s="10" t="n">
        <v>0</v>
      </c>
      <c r="G30" s="10" t="n">
        <v>0</v>
      </c>
      <c r="H30" s="10" t="n">
        <v>5298.4</v>
      </c>
      <c r="I30" s="10" t="n">
        <v>0</v>
      </c>
      <c r="J30" s="11" t="n">
        <f aca="false">SUM(F30:I30)</f>
        <v>5298.4</v>
      </c>
      <c r="K30" s="10" t="n">
        <v>15654</v>
      </c>
      <c r="L30" s="18" t="n">
        <f aca="false">IFERROR(J30/K30,"")</f>
        <v>0.33846940079213</v>
      </c>
      <c r="M30" s="19" t="n">
        <v>182.45</v>
      </c>
      <c r="N30" s="12" t="n">
        <f aca="false">J30*M30</f>
        <v>966693.08</v>
      </c>
    </row>
    <row r="31" customFormat="false" ht="15" hidden="false" customHeight="false" outlineLevel="0" collapsed="false">
      <c r="A31" s="9" t="s">
        <v>95</v>
      </c>
      <c r="B31" s="9" t="s">
        <v>96</v>
      </c>
      <c r="C31" s="9" t="s">
        <v>56</v>
      </c>
      <c r="D31" s="9" t="s">
        <v>97</v>
      </c>
      <c r="E31" s="17" t="n">
        <v>46235</v>
      </c>
      <c r="F31" s="10" t="n">
        <v>835.5</v>
      </c>
      <c r="G31" s="10" t="n">
        <v>0</v>
      </c>
      <c r="H31" s="10" t="n">
        <v>23600.2</v>
      </c>
      <c r="I31" s="10" t="n">
        <v>0</v>
      </c>
      <c r="J31" s="11" t="n">
        <f aca="false">SUM(F31:I31)</f>
        <v>24435.7</v>
      </c>
      <c r="K31" s="10" t="n">
        <v>109481</v>
      </c>
      <c r="L31" s="18" t="n">
        <f aca="false">IFERROR(J31/K31,"")</f>
        <v>0.22319580566491</v>
      </c>
      <c r="M31" s="19" t="n">
        <v>127.96</v>
      </c>
      <c r="N31" s="12" t="n">
        <f aca="false">J31*M31</f>
        <v>3126792.172</v>
      </c>
    </row>
    <row r="32" customFormat="false" ht="15" hidden="false" customHeight="false" outlineLevel="0" collapsed="false">
      <c r="A32" s="9" t="s">
        <v>95</v>
      </c>
      <c r="B32" s="9" t="s">
        <v>96</v>
      </c>
      <c r="C32" s="9" t="s">
        <v>56</v>
      </c>
      <c r="D32" s="9" t="s">
        <v>97</v>
      </c>
      <c r="E32" s="17" t="n">
        <v>46266</v>
      </c>
      <c r="F32" s="10" t="n">
        <v>0</v>
      </c>
      <c r="G32" s="10" t="n">
        <v>0</v>
      </c>
      <c r="H32" s="10" t="n">
        <v>7261.5</v>
      </c>
      <c r="I32" s="10" t="n">
        <v>0</v>
      </c>
      <c r="J32" s="11" t="n">
        <f aca="false">SUM(F32:I32)</f>
        <v>7261.5</v>
      </c>
      <c r="K32" s="10" t="n">
        <v>26652</v>
      </c>
      <c r="L32" s="18" t="n">
        <f aca="false">IFERROR(J32/K32,"")</f>
        <v>0.272456100855471</v>
      </c>
      <c r="M32" s="19" t="n">
        <v>180.81</v>
      </c>
      <c r="N32" s="12" t="n">
        <f aca="false">J32*M32</f>
        <v>1312951.815</v>
      </c>
    </row>
    <row r="33" customFormat="false" ht="15" hidden="false" customHeight="false" outlineLevel="0" collapsed="false">
      <c r="A33" s="9" t="s">
        <v>99</v>
      </c>
      <c r="B33" s="9" t="s">
        <v>100</v>
      </c>
      <c r="C33" s="9" t="s">
        <v>68</v>
      </c>
      <c r="D33" s="9" t="s">
        <v>101</v>
      </c>
      <c r="E33" s="17" t="n">
        <v>46235</v>
      </c>
      <c r="F33" s="10" t="n">
        <v>0</v>
      </c>
      <c r="G33" s="10" t="n">
        <v>0</v>
      </c>
      <c r="H33" s="10" t="n">
        <v>14768.5</v>
      </c>
      <c r="I33" s="10" t="n">
        <v>0</v>
      </c>
      <c r="J33" s="11" t="n">
        <f aca="false">SUM(F33:I33)</f>
        <v>14768.5</v>
      </c>
      <c r="K33" s="10" t="n">
        <v>33936</v>
      </c>
      <c r="L33" s="18" t="n">
        <f aca="false">IFERROR(J33/K33,"")</f>
        <v>0.435186822253654</v>
      </c>
      <c r="M33" s="19" t="n">
        <v>129.26</v>
      </c>
      <c r="N33" s="12" t="n">
        <f aca="false">J33*M33</f>
        <v>1908976.31</v>
      </c>
    </row>
    <row r="34" customFormat="false" ht="15" hidden="false" customHeight="false" outlineLevel="0" collapsed="false">
      <c r="A34" s="9" t="s">
        <v>99</v>
      </c>
      <c r="B34" s="9" t="s">
        <v>100</v>
      </c>
      <c r="C34" s="9" t="s">
        <v>68</v>
      </c>
      <c r="D34" s="9" t="s">
        <v>101</v>
      </c>
      <c r="E34" s="17" t="n">
        <v>46266</v>
      </c>
      <c r="F34" s="10" t="n">
        <v>0</v>
      </c>
      <c r="G34" s="10" t="n">
        <v>0</v>
      </c>
      <c r="H34" s="10" t="n">
        <v>2292.2</v>
      </c>
      <c r="I34" s="10" t="n">
        <v>0</v>
      </c>
      <c r="J34" s="11" t="n">
        <f aca="false">SUM(F34:I34)</f>
        <v>2292.2</v>
      </c>
      <c r="K34" s="10" t="n">
        <v>6334</v>
      </c>
      <c r="L34" s="18" t="n">
        <f aca="false">IFERROR(J34/K34,"")</f>
        <v>0.36188822229239</v>
      </c>
      <c r="M34" s="19" t="n">
        <v>182.45</v>
      </c>
      <c r="N34" s="12" t="n">
        <f aca="false">J34*M34</f>
        <v>418211.89</v>
      </c>
    </row>
    <row r="35" customFormat="false" ht="15" hidden="false" customHeight="false" outlineLevel="0" collapsed="false">
      <c r="A35" s="9" t="s">
        <v>103</v>
      </c>
      <c r="B35" s="9" t="s">
        <v>104</v>
      </c>
      <c r="C35" s="9" t="s">
        <v>68</v>
      </c>
      <c r="D35" s="9" t="s">
        <v>69</v>
      </c>
      <c r="E35" s="17" t="n">
        <v>46235</v>
      </c>
      <c r="F35" s="10" t="n">
        <v>0</v>
      </c>
      <c r="G35" s="10" t="n">
        <v>0</v>
      </c>
      <c r="H35" s="10" t="n">
        <v>30682.8</v>
      </c>
      <c r="I35" s="10" t="n">
        <v>0</v>
      </c>
      <c r="J35" s="11" t="n">
        <f aca="false">SUM(F35:I35)</f>
        <v>30682.8</v>
      </c>
      <c r="K35" s="10" t="n">
        <v>90619</v>
      </c>
      <c r="L35" s="18" t="n">
        <f aca="false">IFERROR(J35/K35,"")</f>
        <v>0.338591244661716</v>
      </c>
      <c r="M35" s="19" t="n">
        <v>129.26</v>
      </c>
      <c r="N35" s="12" t="n">
        <f aca="false">J35*M35</f>
        <v>3966058.728</v>
      </c>
    </row>
    <row r="36" customFormat="false" ht="15" hidden="false" customHeight="false" outlineLevel="0" collapsed="false">
      <c r="A36" s="9" t="s">
        <v>106</v>
      </c>
      <c r="B36" s="9" t="s">
        <v>107</v>
      </c>
      <c r="C36" s="9" t="s">
        <v>56</v>
      </c>
      <c r="D36" s="9" t="s">
        <v>80</v>
      </c>
      <c r="E36" s="17" t="n">
        <v>46235</v>
      </c>
      <c r="F36" s="10" t="n">
        <v>1532.4</v>
      </c>
      <c r="G36" s="10" t="n">
        <v>333.1</v>
      </c>
      <c r="H36" s="10" t="n">
        <v>5510.1</v>
      </c>
      <c r="I36" s="10" t="n">
        <v>0</v>
      </c>
      <c r="J36" s="11" t="n">
        <f aca="false">SUM(F36:I36)</f>
        <v>7375.6</v>
      </c>
      <c r="K36" s="10" t="n">
        <v>12890</v>
      </c>
      <c r="L36" s="18" t="n">
        <f aca="false">IFERROR(J36/K36,"")</f>
        <v>0.572195500387898</v>
      </c>
      <c r="M36" s="19" t="n">
        <v>127.96</v>
      </c>
      <c r="N36" s="12" t="n">
        <f aca="false">J36*M36</f>
        <v>943781.776</v>
      </c>
    </row>
    <row r="37" customFormat="false" ht="15" hidden="false" customHeight="false" outlineLevel="0" collapsed="false">
      <c r="A37" s="9" t="s">
        <v>106</v>
      </c>
      <c r="B37" s="9" t="s">
        <v>107</v>
      </c>
      <c r="C37" s="9" t="s">
        <v>56</v>
      </c>
      <c r="D37" s="9" t="s">
        <v>80</v>
      </c>
      <c r="E37" s="17" t="n">
        <v>46266</v>
      </c>
      <c r="F37" s="10" t="n">
        <v>85.2</v>
      </c>
      <c r="G37" s="10" t="n">
        <v>23.9</v>
      </c>
      <c r="H37" s="10" t="n">
        <v>795.7</v>
      </c>
      <c r="I37" s="10" t="n">
        <v>0</v>
      </c>
      <c r="J37" s="11" t="n">
        <f aca="false">SUM(F37:I37)</f>
        <v>904.8</v>
      </c>
      <c r="K37" s="10" t="n">
        <v>2804</v>
      </c>
      <c r="L37" s="18" t="n">
        <f aca="false">IFERROR(J37/K37,"")</f>
        <v>0.322681883024251</v>
      </c>
      <c r="M37" s="19" t="n">
        <v>180.81</v>
      </c>
      <c r="N37" s="12" t="n">
        <f aca="false">J37*M37</f>
        <v>163596.888</v>
      </c>
    </row>
    <row r="38" customFormat="false" ht="15" hidden="false" customHeight="false" outlineLevel="0" collapsed="false">
      <c r="A38" s="9" t="s">
        <v>109</v>
      </c>
      <c r="B38" s="9" t="s">
        <v>110</v>
      </c>
      <c r="C38" s="9" t="s">
        <v>56</v>
      </c>
      <c r="D38" s="9" t="s">
        <v>97</v>
      </c>
      <c r="E38" s="17" t="n">
        <v>46235</v>
      </c>
      <c r="F38" s="10" t="n">
        <v>260.1</v>
      </c>
      <c r="G38" s="10" t="n">
        <v>0</v>
      </c>
      <c r="H38" s="10" t="n">
        <v>5940.2</v>
      </c>
      <c r="I38" s="10" t="n">
        <v>0</v>
      </c>
      <c r="J38" s="11" t="n">
        <f aca="false">SUM(F38:I38)</f>
        <v>6200.3</v>
      </c>
      <c r="K38" s="10" t="n">
        <v>21468</v>
      </c>
      <c r="L38" s="18" t="n">
        <f aca="false">IFERROR(J38/K38,"")</f>
        <v>0.288815912055152</v>
      </c>
      <c r="M38" s="19" t="n">
        <v>127.96</v>
      </c>
      <c r="N38" s="12" t="n">
        <f aca="false">J38*M38</f>
        <v>793390.388</v>
      </c>
    </row>
    <row r="39" customFormat="false" ht="15" hidden="false" customHeight="false" outlineLevel="0" collapsed="false">
      <c r="A39" s="9" t="s">
        <v>109</v>
      </c>
      <c r="B39" s="9" t="s">
        <v>110</v>
      </c>
      <c r="C39" s="9" t="s">
        <v>56</v>
      </c>
      <c r="D39" s="9" t="s">
        <v>97</v>
      </c>
      <c r="E39" s="17" t="n">
        <v>46266</v>
      </c>
      <c r="F39" s="10" t="n">
        <v>0</v>
      </c>
      <c r="G39" s="10" t="n">
        <v>0</v>
      </c>
      <c r="H39" s="10" t="n">
        <v>1877.9</v>
      </c>
      <c r="I39" s="10" t="n">
        <v>0</v>
      </c>
      <c r="J39" s="11" t="n">
        <f aca="false">SUM(F39:I39)</f>
        <v>1877.9</v>
      </c>
      <c r="K39" s="10" t="n">
        <v>5051</v>
      </c>
      <c r="L39" s="18" t="n">
        <f aca="false">IFERROR(J39/K39,"")</f>
        <v>0.37178776479905</v>
      </c>
      <c r="M39" s="19" t="n">
        <v>180.81</v>
      </c>
      <c r="N39" s="12" t="n">
        <f aca="false">J39*M39</f>
        <v>339543.099</v>
      </c>
    </row>
    <row r="40" customFormat="false" ht="15" hidden="false" customHeight="false" outlineLevel="0" collapsed="false">
      <c r="A40" s="9" t="s">
        <v>111</v>
      </c>
      <c r="B40" s="9" t="s">
        <v>112</v>
      </c>
      <c r="C40" s="9" t="s">
        <v>56</v>
      </c>
      <c r="D40" s="9" t="s">
        <v>97</v>
      </c>
      <c r="E40" s="17" t="n">
        <v>46235</v>
      </c>
      <c r="F40" s="10" t="n">
        <v>336.8</v>
      </c>
      <c r="G40" s="10" t="n">
        <v>0</v>
      </c>
      <c r="H40" s="10" t="n">
        <v>10342.6</v>
      </c>
      <c r="I40" s="10" t="n">
        <v>0</v>
      </c>
      <c r="J40" s="11" t="n">
        <f aca="false">SUM(F40:I40)</f>
        <v>10679.4</v>
      </c>
      <c r="K40" s="10" t="n">
        <v>38489</v>
      </c>
      <c r="L40" s="18" t="n">
        <f aca="false">IFERROR(J40/K40,"")</f>
        <v>0.277466289069604</v>
      </c>
      <c r="M40" s="19" t="n">
        <v>127.96</v>
      </c>
      <c r="N40" s="12" t="n">
        <f aca="false">J40*M40</f>
        <v>1366536.024</v>
      </c>
    </row>
    <row r="41" customFormat="false" ht="15" hidden="false" customHeight="false" outlineLevel="0" collapsed="false">
      <c r="A41" s="9" t="s">
        <v>111</v>
      </c>
      <c r="B41" s="9" t="s">
        <v>112</v>
      </c>
      <c r="C41" s="9" t="s">
        <v>56</v>
      </c>
      <c r="D41" s="9" t="s">
        <v>97</v>
      </c>
      <c r="E41" s="17" t="n">
        <v>46266</v>
      </c>
      <c r="F41" s="10" t="n">
        <v>0</v>
      </c>
      <c r="G41" s="10" t="n">
        <v>0</v>
      </c>
      <c r="H41" s="10" t="n">
        <v>2528.7</v>
      </c>
      <c r="I41" s="10" t="n">
        <v>0</v>
      </c>
      <c r="J41" s="11" t="n">
        <f aca="false">SUM(F41:I41)</f>
        <v>2528.7</v>
      </c>
      <c r="K41" s="10" t="n">
        <v>8233</v>
      </c>
      <c r="L41" s="18" t="n">
        <f aca="false">IFERROR(J41/K41,"")</f>
        <v>0.307141989554233</v>
      </c>
      <c r="M41" s="19" t="n">
        <v>180.81</v>
      </c>
      <c r="N41" s="12" t="n">
        <f aca="false">J41*M41</f>
        <v>457214.247</v>
      </c>
    </row>
    <row r="42" customFormat="false" ht="15" hidden="false" customHeight="false" outlineLevel="0" collapsed="false">
      <c r="A42" s="9" t="s">
        <v>113</v>
      </c>
      <c r="B42" s="9" t="s">
        <v>114</v>
      </c>
      <c r="C42" s="9" t="s">
        <v>56</v>
      </c>
      <c r="D42" s="9" t="s">
        <v>61</v>
      </c>
      <c r="E42" s="17" t="n">
        <v>46235</v>
      </c>
      <c r="F42" s="10" t="n">
        <v>1280.7</v>
      </c>
      <c r="G42" s="10" t="n">
        <v>99</v>
      </c>
      <c r="H42" s="10" t="n">
        <v>5971.5</v>
      </c>
      <c r="I42" s="10" t="n">
        <v>0</v>
      </c>
      <c r="J42" s="11" t="n">
        <f aca="false">SUM(F42:I42)</f>
        <v>7351.2</v>
      </c>
      <c r="K42" s="10" t="n">
        <v>28607</v>
      </c>
      <c r="L42" s="18" t="n">
        <f aca="false">IFERROR(J42/K42,"")</f>
        <v>0.256972069773132</v>
      </c>
      <c r="M42" s="19" t="n">
        <v>127.96</v>
      </c>
      <c r="N42" s="12" t="n">
        <f aca="false">J42*M42</f>
        <v>940659.552</v>
      </c>
    </row>
    <row r="43" customFormat="false" ht="15" hidden="false" customHeight="false" outlineLevel="0" collapsed="false">
      <c r="A43" s="9" t="s">
        <v>113</v>
      </c>
      <c r="B43" s="9" t="s">
        <v>114</v>
      </c>
      <c r="C43" s="9" t="s">
        <v>56</v>
      </c>
      <c r="D43" s="9" t="s">
        <v>61</v>
      </c>
      <c r="E43" s="17" t="n">
        <v>46266</v>
      </c>
      <c r="F43" s="10" t="n">
        <v>0</v>
      </c>
      <c r="G43" s="10" t="n">
        <v>0</v>
      </c>
      <c r="H43" s="10" t="n">
        <v>1386.7</v>
      </c>
      <c r="I43" s="10" t="n">
        <v>0</v>
      </c>
      <c r="J43" s="11" t="n">
        <f aca="false">SUM(F43:I43)</f>
        <v>1386.7</v>
      </c>
      <c r="K43" s="10" t="n">
        <v>6847</v>
      </c>
      <c r="L43" s="18" t="n">
        <f aca="false">IFERROR(J43/K43,"")</f>
        <v>0.202526654009055</v>
      </c>
      <c r="M43" s="19" t="n">
        <v>180.81</v>
      </c>
      <c r="N43" s="12" t="n">
        <f aca="false">J43*M43</f>
        <v>250729.227</v>
      </c>
    </row>
    <row r="44" customFormat="false" ht="15" hidden="false" customHeight="false" outlineLevel="0" collapsed="false">
      <c r="A44" s="9" t="s">
        <v>115</v>
      </c>
      <c r="B44" s="9" t="s">
        <v>116</v>
      </c>
      <c r="C44" s="9" t="s">
        <v>68</v>
      </c>
      <c r="D44" s="9" t="s">
        <v>101</v>
      </c>
      <c r="E44" s="17" t="n">
        <v>46235</v>
      </c>
      <c r="F44" s="10" t="n">
        <v>0</v>
      </c>
      <c r="G44" s="10" t="n">
        <v>0</v>
      </c>
      <c r="H44" s="10" t="n">
        <v>15397.6</v>
      </c>
      <c r="I44" s="10" t="n">
        <v>0</v>
      </c>
      <c r="J44" s="11" t="n">
        <f aca="false">SUM(F44:I44)</f>
        <v>15397.6</v>
      </c>
      <c r="K44" s="10" t="n">
        <v>38544</v>
      </c>
      <c r="L44" s="18" t="n">
        <f aca="false">IFERROR(J44/K44,"")</f>
        <v>0.399481112494811</v>
      </c>
      <c r="M44" s="19" t="n">
        <v>129.26</v>
      </c>
      <c r="N44" s="12" t="n">
        <f aca="false">J44*M44</f>
        <v>1990293.776</v>
      </c>
    </row>
    <row r="45" customFormat="false" ht="15" hidden="false" customHeight="false" outlineLevel="0" collapsed="false">
      <c r="A45" s="9" t="s">
        <v>115</v>
      </c>
      <c r="B45" s="9" t="s">
        <v>116</v>
      </c>
      <c r="C45" s="9" t="s">
        <v>68</v>
      </c>
      <c r="D45" s="9" t="s">
        <v>101</v>
      </c>
      <c r="E45" s="17" t="n">
        <v>46266</v>
      </c>
      <c r="F45" s="10" t="n">
        <v>0</v>
      </c>
      <c r="G45" s="10" t="n">
        <v>0</v>
      </c>
      <c r="H45" s="10" t="n">
        <v>2026</v>
      </c>
      <c r="I45" s="10" t="n">
        <v>0</v>
      </c>
      <c r="J45" s="11" t="n">
        <f aca="false">SUM(F45:I45)</f>
        <v>2026</v>
      </c>
      <c r="K45" s="10" t="n">
        <v>6277</v>
      </c>
      <c r="L45" s="18" t="n">
        <f aca="false">IFERROR(J45/K45,"")</f>
        <v>0.322765652381711</v>
      </c>
      <c r="M45" s="19" t="n">
        <v>182.45</v>
      </c>
      <c r="N45" s="12" t="n">
        <f aca="false">J45*M45</f>
        <v>369643.7</v>
      </c>
    </row>
    <row r="46" customFormat="false" ht="15" hidden="false" customHeight="false" outlineLevel="0" collapsed="false">
      <c r="A46" s="9" t="s">
        <v>118</v>
      </c>
      <c r="B46" s="9" t="s">
        <v>119</v>
      </c>
      <c r="C46" s="9" t="s">
        <v>56</v>
      </c>
      <c r="D46" s="9" t="s">
        <v>97</v>
      </c>
      <c r="E46" s="17" t="n">
        <v>46235</v>
      </c>
      <c r="F46" s="10" t="n">
        <v>475.1</v>
      </c>
      <c r="G46" s="10" t="n">
        <v>0</v>
      </c>
      <c r="H46" s="10" t="n">
        <v>10888.2</v>
      </c>
      <c r="I46" s="10" t="n">
        <v>0</v>
      </c>
      <c r="J46" s="11" t="n">
        <f aca="false">SUM(F46:I46)</f>
        <v>11363.3</v>
      </c>
      <c r="K46" s="10" t="n">
        <v>51188</v>
      </c>
      <c r="L46" s="18" t="n">
        <f aca="false">IFERROR(J46/K46,"")</f>
        <v>0.221991482378683</v>
      </c>
      <c r="M46" s="19" t="n">
        <v>127.96</v>
      </c>
      <c r="N46" s="12" t="n">
        <f aca="false">J46*M46</f>
        <v>1454047.868</v>
      </c>
    </row>
    <row r="47" customFormat="false" ht="15" hidden="false" customHeight="false" outlineLevel="0" collapsed="false">
      <c r="A47" s="9" t="s">
        <v>118</v>
      </c>
      <c r="B47" s="9" t="s">
        <v>119</v>
      </c>
      <c r="C47" s="9" t="s">
        <v>56</v>
      </c>
      <c r="D47" s="9" t="s">
        <v>97</v>
      </c>
      <c r="E47" s="17" t="n">
        <v>46266</v>
      </c>
      <c r="F47" s="10" t="n">
        <v>0</v>
      </c>
      <c r="G47" s="10" t="n">
        <v>0</v>
      </c>
      <c r="H47" s="10" t="n">
        <v>3250.4</v>
      </c>
      <c r="I47" s="10" t="n">
        <v>0</v>
      </c>
      <c r="J47" s="11" t="n">
        <f aca="false">SUM(F47:I47)</f>
        <v>3250.4</v>
      </c>
      <c r="K47" s="10" t="n">
        <v>12503</v>
      </c>
      <c r="L47" s="18" t="n">
        <f aca="false">IFERROR(J47/K47,"")</f>
        <v>0.259969607294249</v>
      </c>
      <c r="M47" s="19" t="n">
        <v>180.81</v>
      </c>
      <c r="N47" s="12" t="n">
        <f aca="false">J47*M47</f>
        <v>587704.824</v>
      </c>
    </row>
    <row r="48" customFormat="false" ht="15" hidden="false" customHeight="false" outlineLevel="0" collapsed="false">
      <c r="A48" s="9" t="s">
        <v>120</v>
      </c>
      <c r="B48" s="9" t="s">
        <v>121</v>
      </c>
      <c r="C48" s="9" t="s">
        <v>68</v>
      </c>
      <c r="D48" s="9" t="s">
        <v>101</v>
      </c>
      <c r="E48" s="17" t="n">
        <v>46235</v>
      </c>
      <c r="F48" s="10" t="n">
        <v>0</v>
      </c>
      <c r="G48" s="10" t="n">
        <v>0</v>
      </c>
      <c r="H48" s="10" t="n">
        <v>6734</v>
      </c>
      <c r="I48" s="10" t="n">
        <v>0</v>
      </c>
      <c r="J48" s="11" t="n">
        <f aca="false">SUM(F48:I48)</f>
        <v>6734</v>
      </c>
      <c r="K48" s="10" t="n">
        <v>14194</v>
      </c>
      <c r="L48" s="18" t="n">
        <f aca="false">IFERROR(J48/K48,"")</f>
        <v>0.474425813724109</v>
      </c>
      <c r="M48" s="19" t="n">
        <v>129.26</v>
      </c>
      <c r="N48" s="12" t="n">
        <f aca="false">J48*M48</f>
        <v>870436.84</v>
      </c>
    </row>
    <row r="49" customFormat="false" ht="15" hidden="false" customHeight="false" outlineLevel="0" collapsed="false">
      <c r="A49" s="9" t="s">
        <v>120</v>
      </c>
      <c r="B49" s="9" t="s">
        <v>121</v>
      </c>
      <c r="C49" s="9" t="s">
        <v>68</v>
      </c>
      <c r="D49" s="9" t="s">
        <v>101</v>
      </c>
      <c r="E49" s="17" t="n">
        <v>46266</v>
      </c>
      <c r="F49" s="10" t="n">
        <v>0</v>
      </c>
      <c r="G49" s="10" t="n">
        <v>0</v>
      </c>
      <c r="H49" s="10" t="n">
        <v>680.8</v>
      </c>
      <c r="I49" s="10" t="n">
        <v>0</v>
      </c>
      <c r="J49" s="11" t="n">
        <f aca="false">SUM(F49:I49)</f>
        <v>680.8</v>
      </c>
      <c r="K49" s="10" t="n">
        <v>1954</v>
      </c>
      <c r="L49" s="18" t="n">
        <f aca="false">IFERROR(J49/K49,"")</f>
        <v>0.348413510747185</v>
      </c>
      <c r="M49" s="19" t="n">
        <v>182.45</v>
      </c>
      <c r="N49" s="12" t="n">
        <f aca="false">J49*M49</f>
        <v>124211.96</v>
      </c>
    </row>
    <row r="50" customFormat="false" ht="15" hidden="false" customHeight="false" outlineLevel="0" collapsed="false">
      <c r="A50" s="9" t="s">
        <v>122</v>
      </c>
      <c r="B50" s="9" t="s">
        <v>123</v>
      </c>
      <c r="C50" s="9" t="s">
        <v>68</v>
      </c>
      <c r="D50" s="9" t="s">
        <v>69</v>
      </c>
      <c r="E50" s="17" t="n">
        <v>46235</v>
      </c>
      <c r="F50" s="10" t="n">
        <v>63.2</v>
      </c>
      <c r="G50" s="10" t="n">
        <v>0</v>
      </c>
      <c r="H50" s="10" t="n">
        <v>39471.1</v>
      </c>
      <c r="I50" s="10" t="n">
        <v>0</v>
      </c>
      <c r="J50" s="11" t="n">
        <f aca="false">SUM(F50:I50)</f>
        <v>39534.3</v>
      </c>
      <c r="K50" s="10" t="n">
        <v>133752</v>
      </c>
      <c r="L50" s="18" t="n">
        <f aca="false">IFERROR(J50/K50,"")</f>
        <v>0.295579131527005</v>
      </c>
      <c r="M50" s="19" t="n">
        <v>129.26</v>
      </c>
      <c r="N50" s="12" t="n">
        <f aca="false">J50*M50</f>
        <v>5110203.618</v>
      </c>
    </row>
    <row r="51" customFormat="false" ht="15" hidden="false" customHeight="false" outlineLevel="0" collapsed="false">
      <c r="A51" s="9" t="s">
        <v>122</v>
      </c>
      <c r="B51" s="9" t="s">
        <v>123</v>
      </c>
      <c r="C51" s="9" t="s">
        <v>68</v>
      </c>
      <c r="D51" s="9" t="s">
        <v>69</v>
      </c>
      <c r="E51" s="17" t="n">
        <v>46266</v>
      </c>
      <c r="F51" s="10" t="n">
        <v>0</v>
      </c>
      <c r="G51" s="10" t="n">
        <v>0</v>
      </c>
      <c r="H51" s="10" t="n">
        <v>8420.6</v>
      </c>
      <c r="I51" s="10" t="n">
        <v>0</v>
      </c>
      <c r="J51" s="11" t="n">
        <f aca="false">SUM(F51:I51)</f>
        <v>8420.6</v>
      </c>
      <c r="K51" s="10" t="n">
        <v>24064</v>
      </c>
      <c r="L51" s="18" t="n">
        <f aca="false">IFERROR(J51/K51,"")</f>
        <v>0.349925199468085</v>
      </c>
      <c r="M51" s="19" t="n">
        <v>182.45</v>
      </c>
      <c r="N51" s="12" t="n">
        <f aca="false">J51*M51</f>
        <v>1536338.47</v>
      </c>
    </row>
    <row r="52" customFormat="false" ht="15" hidden="false" customHeight="false" outlineLevel="0" collapsed="false">
      <c r="A52" s="9" t="s">
        <v>124</v>
      </c>
      <c r="B52" s="9" t="s">
        <v>125</v>
      </c>
      <c r="C52" s="9" t="s">
        <v>56</v>
      </c>
      <c r="D52" s="9" t="s">
        <v>57</v>
      </c>
      <c r="E52" s="17" t="n">
        <v>46235</v>
      </c>
      <c r="F52" s="10" t="n">
        <v>281.1</v>
      </c>
      <c r="G52" s="10" t="n">
        <v>16.8</v>
      </c>
      <c r="H52" s="10" t="n">
        <v>2240.1</v>
      </c>
      <c r="I52" s="10" t="n">
        <v>0</v>
      </c>
      <c r="J52" s="11" t="n">
        <f aca="false">SUM(F52:I52)</f>
        <v>2538</v>
      </c>
      <c r="K52" s="10" t="n">
        <v>12822</v>
      </c>
      <c r="L52" s="18" t="n">
        <f aca="false">IFERROR(J52/K52,"")</f>
        <v>0.197941038839495</v>
      </c>
      <c r="M52" s="19" t="n">
        <v>127.96</v>
      </c>
      <c r="N52" s="12" t="n">
        <f aca="false">J52*M52</f>
        <v>324762.48</v>
      </c>
    </row>
    <row r="53" customFormat="false" ht="15" hidden="false" customHeight="false" outlineLevel="0" collapsed="false">
      <c r="A53" s="9" t="s">
        <v>124</v>
      </c>
      <c r="B53" s="9" t="s">
        <v>125</v>
      </c>
      <c r="C53" s="9" t="s">
        <v>56</v>
      </c>
      <c r="D53" s="9" t="s">
        <v>57</v>
      </c>
      <c r="E53" s="17" t="n">
        <v>46266</v>
      </c>
      <c r="F53" s="10" t="n">
        <v>0</v>
      </c>
      <c r="G53" s="10" t="n">
        <v>0</v>
      </c>
      <c r="H53" s="10" t="n">
        <v>495.2</v>
      </c>
      <c r="I53" s="10" t="n">
        <v>0</v>
      </c>
      <c r="J53" s="11" t="n">
        <f aca="false">SUM(F53:I53)</f>
        <v>495.2</v>
      </c>
      <c r="K53" s="10" t="n">
        <v>3118</v>
      </c>
      <c r="L53" s="18" t="n">
        <f aca="false">IFERROR(J53/K53,"")</f>
        <v>0.158819756254009</v>
      </c>
      <c r="M53" s="19" t="n">
        <v>180.81</v>
      </c>
      <c r="N53" s="12" t="n">
        <f aca="false">J53*M53</f>
        <v>89537.112</v>
      </c>
    </row>
    <row r="54" customFormat="false" ht="15" hidden="false" customHeight="false" outlineLevel="0" collapsed="false">
      <c r="A54" s="9" t="s">
        <v>126</v>
      </c>
      <c r="B54" s="9" t="s">
        <v>127</v>
      </c>
      <c r="C54" s="9" t="s">
        <v>56</v>
      </c>
      <c r="D54" s="9" t="s">
        <v>80</v>
      </c>
      <c r="E54" s="17" t="n">
        <v>46235</v>
      </c>
      <c r="F54" s="10" t="n">
        <v>183.8</v>
      </c>
      <c r="G54" s="10" t="n">
        <v>0</v>
      </c>
      <c r="H54" s="10" t="n">
        <v>1247.4</v>
      </c>
      <c r="I54" s="10" t="n">
        <v>0</v>
      </c>
      <c r="J54" s="11" t="n">
        <f aca="false">SUM(F54:I54)</f>
        <v>1431.2</v>
      </c>
      <c r="K54" s="10" t="n">
        <v>7542</v>
      </c>
      <c r="L54" s="18" t="n">
        <f aca="false">IFERROR(J54/K54,"")</f>
        <v>0.189763988332007</v>
      </c>
      <c r="M54" s="19" t="n">
        <v>127.96</v>
      </c>
      <c r="N54" s="12" t="n">
        <f aca="false">J54*M54</f>
        <v>183136.352</v>
      </c>
    </row>
    <row r="55" customFormat="false" ht="15" hidden="false" customHeight="false" outlineLevel="0" collapsed="false">
      <c r="A55" s="9" t="s">
        <v>126</v>
      </c>
      <c r="B55" s="9" t="s">
        <v>127</v>
      </c>
      <c r="C55" s="9" t="s">
        <v>56</v>
      </c>
      <c r="D55" s="9" t="s">
        <v>80</v>
      </c>
      <c r="E55" s="17" t="n">
        <v>46266</v>
      </c>
      <c r="F55" s="10" t="n">
        <v>0</v>
      </c>
      <c r="G55" s="10" t="n">
        <v>0</v>
      </c>
      <c r="H55" s="10" t="n">
        <v>283.7</v>
      </c>
      <c r="I55" s="10" t="n">
        <v>0</v>
      </c>
      <c r="J55" s="11" t="n">
        <f aca="false">SUM(F55:I55)</f>
        <v>283.7</v>
      </c>
      <c r="K55" s="10" t="n">
        <v>1904</v>
      </c>
      <c r="L55" s="18" t="n">
        <f aca="false">IFERROR(J55/K55,"")</f>
        <v>0.149002100840336</v>
      </c>
      <c r="M55" s="19" t="n">
        <v>180.81</v>
      </c>
      <c r="N55" s="12" t="n">
        <f aca="false">J55*M55</f>
        <v>51295.797</v>
      </c>
    </row>
    <row r="56" customFormat="false" ht="15" hidden="false" customHeight="false" outlineLevel="0" collapsed="false">
      <c r="A56" s="9" t="s">
        <v>129</v>
      </c>
      <c r="B56" s="9" t="s">
        <v>130</v>
      </c>
      <c r="C56" s="9" t="s">
        <v>68</v>
      </c>
      <c r="D56" s="9" t="s">
        <v>69</v>
      </c>
      <c r="E56" s="17" t="n">
        <v>46235</v>
      </c>
      <c r="F56" s="10" t="n">
        <v>1171.6</v>
      </c>
      <c r="G56" s="10" t="n">
        <v>0</v>
      </c>
      <c r="H56" s="10" t="n">
        <v>6363.9</v>
      </c>
      <c r="I56" s="10" t="n">
        <v>0</v>
      </c>
      <c r="J56" s="11" t="n">
        <f aca="false">SUM(F56:I56)</f>
        <v>7535.5</v>
      </c>
      <c r="K56" s="10" t="n">
        <v>20855</v>
      </c>
      <c r="L56" s="18" t="n">
        <f aca="false">IFERROR(J56/K56,"")</f>
        <v>0.361328218652601</v>
      </c>
      <c r="M56" s="19" t="n">
        <v>129.26</v>
      </c>
      <c r="N56" s="12" t="n">
        <f aca="false">J56*M56</f>
        <v>974038.73</v>
      </c>
    </row>
    <row r="57" customFormat="false" ht="15" hidden="false" customHeight="false" outlineLevel="0" collapsed="false">
      <c r="A57" s="9" t="s">
        <v>129</v>
      </c>
      <c r="B57" s="9" t="s">
        <v>130</v>
      </c>
      <c r="C57" s="9" t="s">
        <v>68</v>
      </c>
      <c r="D57" s="9" t="s">
        <v>69</v>
      </c>
      <c r="E57" s="17" t="n">
        <v>46266</v>
      </c>
      <c r="F57" s="10" t="n">
        <v>0</v>
      </c>
      <c r="G57" s="10" t="n">
        <v>0</v>
      </c>
      <c r="H57" s="10" t="n">
        <v>1299</v>
      </c>
      <c r="I57" s="10" t="n">
        <v>0</v>
      </c>
      <c r="J57" s="11" t="n">
        <f aca="false">SUM(F57:I57)</f>
        <v>1299</v>
      </c>
      <c r="K57" s="10" t="n">
        <v>4120</v>
      </c>
      <c r="L57" s="18" t="n">
        <f aca="false">IFERROR(J57/K57,"")</f>
        <v>0.315291262135922</v>
      </c>
      <c r="M57" s="19" t="n">
        <v>182.45</v>
      </c>
      <c r="N57" s="12" t="n">
        <f aca="false">J57*M57</f>
        <v>237002.55</v>
      </c>
    </row>
    <row r="58" customFormat="false" ht="15" hidden="false" customHeight="false" outlineLevel="0" collapsed="false">
      <c r="A58" s="9" t="s">
        <v>132</v>
      </c>
      <c r="B58" s="9" t="s">
        <v>133</v>
      </c>
      <c r="C58" s="9" t="s">
        <v>56</v>
      </c>
      <c r="D58" s="9" t="s">
        <v>80</v>
      </c>
      <c r="E58" s="17" t="n">
        <v>46235</v>
      </c>
      <c r="F58" s="10" t="n">
        <v>2961.1</v>
      </c>
      <c r="G58" s="10" t="n">
        <v>641.2</v>
      </c>
      <c r="H58" s="10" t="n">
        <v>37671.4</v>
      </c>
      <c r="I58" s="10" t="n">
        <v>0</v>
      </c>
      <c r="J58" s="11" t="n">
        <f aca="false">SUM(F58:I58)</f>
        <v>41273.7</v>
      </c>
      <c r="K58" s="10" t="n">
        <v>151728</v>
      </c>
      <c r="L58" s="18" t="n">
        <f aca="false">IFERROR(J58/K58,"")</f>
        <v>0.272024280291047</v>
      </c>
      <c r="M58" s="19" t="n">
        <v>127.96</v>
      </c>
      <c r="N58" s="12" t="n">
        <f aca="false">J58*M58</f>
        <v>5281382.652</v>
      </c>
    </row>
    <row r="59" customFormat="false" ht="15" hidden="false" customHeight="false" outlineLevel="0" collapsed="false">
      <c r="A59" s="9" t="s">
        <v>132</v>
      </c>
      <c r="B59" s="9" t="s">
        <v>133</v>
      </c>
      <c r="C59" s="9" t="s">
        <v>56</v>
      </c>
      <c r="D59" s="9" t="s">
        <v>80</v>
      </c>
      <c r="E59" s="17" t="n">
        <v>46266</v>
      </c>
      <c r="F59" s="10" t="n">
        <v>0</v>
      </c>
      <c r="G59" s="10" t="n">
        <v>163.8</v>
      </c>
      <c r="H59" s="10" t="n">
        <v>9638.4</v>
      </c>
      <c r="I59" s="10" t="n">
        <v>0</v>
      </c>
      <c r="J59" s="11" t="n">
        <f aca="false">SUM(F59:I59)</f>
        <v>9802.2</v>
      </c>
      <c r="K59" s="10" t="n">
        <v>37113</v>
      </c>
      <c r="L59" s="18" t="n">
        <f aca="false">IFERROR(J59/K59,"")</f>
        <v>0.264117694608358</v>
      </c>
      <c r="M59" s="19" t="n">
        <v>180.81</v>
      </c>
      <c r="N59" s="12" t="n">
        <f aca="false">J59*M59</f>
        <v>1772335.782</v>
      </c>
    </row>
    <row r="60" customFormat="false" ht="15" hidden="false" customHeight="false" outlineLevel="0" collapsed="false">
      <c r="A60" s="9" t="s">
        <v>135</v>
      </c>
      <c r="B60" s="9" t="s">
        <v>136</v>
      </c>
      <c r="C60" s="9" t="s">
        <v>56</v>
      </c>
      <c r="D60" s="9" t="s">
        <v>137</v>
      </c>
      <c r="E60" s="17" t="n">
        <v>46235</v>
      </c>
      <c r="F60" s="10" t="n">
        <v>6533.1</v>
      </c>
      <c r="G60" s="10" t="n">
        <v>0</v>
      </c>
      <c r="H60" s="10" t="n">
        <v>49961.1</v>
      </c>
      <c r="I60" s="10" t="n">
        <v>0</v>
      </c>
      <c r="J60" s="11" t="n">
        <f aca="false">SUM(F60:I60)</f>
        <v>56494.2</v>
      </c>
      <c r="K60" s="10" t="n">
        <v>194051</v>
      </c>
      <c r="L60" s="18" t="n">
        <f aca="false">IFERROR(J60/K60,"")</f>
        <v>0.291130682140262</v>
      </c>
      <c r="M60" s="19" t="n">
        <v>127.96</v>
      </c>
      <c r="N60" s="12" t="n">
        <f aca="false">J60*M60</f>
        <v>7228997.832</v>
      </c>
    </row>
    <row r="61" customFormat="false" ht="15" hidden="false" customHeight="false" outlineLevel="0" collapsed="false">
      <c r="A61" s="9" t="s">
        <v>135</v>
      </c>
      <c r="B61" s="9" t="s">
        <v>136</v>
      </c>
      <c r="C61" s="9" t="s">
        <v>56</v>
      </c>
      <c r="D61" s="9" t="s">
        <v>137</v>
      </c>
      <c r="E61" s="17" t="n">
        <v>46266</v>
      </c>
      <c r="F61" s="10" t="n">
        <v>0</v>
      </c>
      <c r="G61" s="10" t="n">
        <v>0</v>
      </c>
      <c r="H61" s="10" t="n">
        <v>12389.8</v>
      </c>
      <c r="I61" s="10" t="n">
        <v>0</v>
      </c>
      <c r="J61" s="11" t="n">
        <f aca="false">SUM(F61:I61)</f>
        <v>12389.8</v>
      </c>
      <c r="K61" s="10" t="n">
        <v>34690</v>
      </c>
      <c r="L61" s="18" t="n">
        <f aca="false">IFERROR(J61/K61,"")</f>
        <v>0.357157682329202</v>
      </c>
      <c r="M61" s="19" t="n">
        <v>180.81</v>
      </c>
      <c r="N61" s="12" t="n">
        <f aca="false">J61*M61</f>
        <v>2240199.738</v>
      </c>
    </row>
    <row r="62" customFormat="false" ht="15" hidden="false" customHeight="false" outlineLevel="0" collapsed="false">
      <c r="A62" s="9" t="s">
        <v>139</v>
      </c>
      <c r="B62" s="9" t="s">
        <v>140</v>
      </c>
      <c r="C62" s="9" t="s">
        <v>68</v>
      </c>
      <c r="D62" s="9" t="s">
        <v>101</v>
      </c>
      <c r="E62" s="17" t="n">
        <v>46235</v>
      </c>
      <c r="F62" s="10" t="n">
        <v>0</v>
      </c>
      <c r="G62" s="10" t="n">
        <v>0</v>
      </c>
      <c r="H62" s="10" t="n">
        <v>8997.8</v>
      </c>
      <c r="I62" s="10" t="n">
        <v>0</v>
      </c>
      <c r="J62" s="11" t="n">
        <f aca="false">SUM(F62:I62)</f>
        <v>8997.8</v>
      </c>
      <c r="K62" s="10" t="n">
        <v>21827</v>
      </c>
      <c r="L62" s="18" t="n">
        <f aca="false">IFERROR(J62/K62,"")</f>
        <v>0.412232556008613</v>
      </c>
      <c r="M62" s="19" t="n">
        <v>129.26</v>
      </c>
      <c r="N62" s="12" t="n">
        <f aca="false">J62*M62</f>
        <v>1163055.628</v>
      </c>
    </row>
    <row r="63" customFormat="false" ht="15" hidden="false" customHeight="false" outlineLevel="0" collapsed="false">
      <c r="A63" s="9" t="s">
        <v>139</v>
      </c>
      <c r="B63" s="9" t="s">
        <v>140</v>
      </c>
      <c r="C63" s="9" t="s">
        <v>68</v>
      </c>
      <c r="D63" s="9" t="s">
        <v>101</v>
      </c>
      <c r="E63" s="17" t="n">
        <v>46266</v>
      </c>
      <c r="F63" s="10" t="n">
        <v>0</v>
      </c>
      <c r="G63" s="10" t="n">
        <v>0</v>
      </c>
      <c r="H63" s="10" t="n">
        <v>700</v>
      </c>
      <c r="I63" s="10" t="n">
        <v>0</v>
      </c>
      <c r="J63" s="11" t="n">
        <f aca="false">SUM(F63:I63)</f>
        <v>700</v>
      </c>
      <c r="K63" s="10" t="n">
        <v>2495</v>
      </c>
      <c r="L63" s="18" t="n">
        <f aca="false">IFERROR(J63/K63,"")</f>
        <v>0.280561122244489</v>
      </c>
      <c r="M63" s="19" t="n">
        <v>182.45</v>
      </c>
      <c r="N63" s="12" t="n">
        <f aca="false">J63*M63</f>
        <v>127715</v>
      </c>
    </row>
    <row r="64" customFormat="false" ht="15" hidden="false" customHeight="false" outlineLevel="0" collapsed="false">
      <c r="A64" s="9" t="s">
        <v>141</v>
      </c>
      <c r="B64" s="9" t="s">
        <v>142</v>
      </c>
      <c r="C64" s="9" t="s">
        <v>68</v>
      </c>
      <c r="D64" s="9" t="s">
        <v>69</v>
      </c>
      <c r="E64" s="17" t="n">
        <v>46235</v>
      </c>
      <c r="F64" s="10" t="n">
        <v>0</v>
      </c>
      <c r="G64" s="10" t="n">
        <v>0</v>
      </c>
      <c r="H64" s="10" t="n">
        <v>39720.3</v>
      </c>
      <c r="I64" s="10" t="n">
        <v>0</v>
      </c>
      <c r="J64" s="11" t="n">
        <f aca="false">SUM(F64:I64)</f>
        <v>39720.3</v>
      </c>
      <c r="K64" s="10" t="n">
        <v>131079</v>
      </c>
      <c r="L64" s="18" t="n">
        <f aca="false">IFERROR(J64/K64,"")</f>
        <v>0.303025656283615</v>
      </c>
      <c r="M64" s="19" t="n">
        <v>129.26</v>
      </c>
      <c r="N64" s="12" t="n">
        <f aca="false">J64*M64</f>
        <v>5134245.978</v>
      </c>
    </row>
    <row r="65" customFormat="false" ht="15" hidden="false" customHeight="false" outlineLevel="0" collapsed="false">
      <c r="A65" s="9" t="s">
        <v>141</v>
      </c>
      <c r="B65" s="9" t="s">
        <v>142</v>
      </c>
      <c r="C65" s="9" t="s">
        <v>68</v>
      </c>
      <c r="D65" s="9" t="s">
        <v>69</v>
      </c>
      <c r="E65" s="17" t="n">
        <v>46266</v>
      </c>
      <c r="F65" s="10" t="n">
        <v>0</v>
      </c>
      <c r="G65" s="10" t="n">
        <v>0</v>
      </c>
      <c r="H65" s="10" t="n">
        <v>7816.4</v>
      </c>
      <c r="I65" s="10" t="n">
        <v>0</v>
      </c>
      <c r="J65" s="11" t="n">
        <f aca="false">SUM(F65:I65)</f>
        <v>7816.4</v>
      </c>
      <c r="K65" s="10" t="n">
        <v>24388</v>
      </c>
      <c r="L65" s="18" t="n">
        <f aca="false">IFERROR(J65/K65,"")</f>
        <v>0.320501886173528</v>
      </c>
      <c r="M65" s="19" t="n">
        <v>182.45</v>
      </c>
      <c r="N65" s="12" t="n">
        <f aca="false">J65*M65</f>
        <v>1426102.18</v>
      </c>
    </row>
    <row r="66" customFormat="false" ht="15" hidden="false" customHeight="false" outlineLevel="0" collapsed="false">
      <c r="A66" s="9" t="s">
        <v>143</v>
      </c>
      <c r="B66" s="9" t="s">
        <v>144</v>
      </c>
      <c r="C66" s="9" t="s">
        <v>56</v>
      </c>
      <c r="D66" s="9" t="s">
        <v>80</v>
      </c>
      <c r="E66" s="17" t="n">
        <v>46235</v>
      </c>
      <c r="F66" s="10" t="n">
        <v>2177.1</v>
      </c>
      <c r="G66" s="10" t="n">
        <v>0</v>
      </c>
      <c r="H66" s="10" t="n">
        <v>8797.6</v>
      </c>
      <c r="I66" s="10" t="n">
        <v>0</v>
      </c>
      <c r="J66" s="11" t="n">
        <f aca="false">SUM(F66:I66)</f>
        <v>10974.7</v>
      </c>
      <c r="K66" s="10" t="n">
        <v>19702</v>
      </c>
      <c r="L66" s="18" t="n">
        <f aca="false">IFERROR(J66/K66,"")</f>
        <v>0.557034818800122</v>
      </c>
      <c r="M66" s="19" t="n">
        <v>127.96</v>
      </c>
      <c r="N66" s="12" t="n">
        <f aca="false">J66*M66</f>
        <v>1404322.612</v>
      </c>
    </row>
    <row r="67" customFormat="false" ht="15" hidden="false" customHeight="false" outlineLevel="0" collapsed="false">
      <c r="A67" s="9" t="s">
        <v>143</v>
      </c>
      <c r="B67" s="9" t="s">
        <v>144</v>
      </c>
      <c r="C67" s="9" t="s">
        <v>56</v>
      </c>
      <c r="D67" s="9" t="s">
        <v>80</v>
      </c>
      <c r="E67" s="17" t="n">
        <v>46266</v>
      </c>
      <c r="F67" s="10" t="n">
        <v>105</v>
      </c>
      <c r="G67" s="10" t="n">
        <v>0</v>
      </c>
      <c r="H67" s="10" t="n">
        <v>1644.3</v>
      </c>
      <c r="I67" s="10" t="n">
        <v>0</v>
      </c>
      <c r="J67" s="11" t="n">
        <f aca="false">SUM(F67:I67)</f>
        <v>1749.3</v>
      </c>
      <c r="K67" s="10" t="n">
        <v>4243</v>
      </c>
      <c r="L67" s="18" t="n">
        <f aca="false">IFERROR(J67/K67,"")</f>
        <v>0.412279047843507</v>
      </c>
      <c r="M67" s="19" t="n">
        <v>180.81</v>
      </c>
      <c r="N67" s="12" t="n">
        <f aca="false">J67*M67</f>
        <v>316290.933</v>
      </c>
    </row>
    <row r="68" customFormat="false" ht="15" hidden="false" customHeight="false" outlineLevel="0" collapsed="false">
      <c r="A68" s="9" t="s">
        <v>145</v>
      </c>
      <c r="B68" s="9" t="s">
        <v>146</v>
      </c>
      <c r="C68" s="9" t="s">
        <v>56</v>
      </c>
      <c r="D68" s="9" t="s">
        <v>61</v>
      </c>
      <c r="E68" s="17" t="n">
        <v>46235</v>
      </c>
      <c r="F68" s="10" t="n">
        <v>692.8</v>
      </c>
      <c r="G68" s="10" t="n">
        <v>0</v>
      </c>
      <c r="H68" s="10" t="n">
        <v>13143.1</v>
      </c>
      <c r="I68" s="10" t="n">
        <v>0</v>
      </c>
      <c r="J68" s="11" t="n">
        <f aca="false">SUM(F68:I68)</f>
        <v>13835.9</v>
      </c>
      <c r="K68" s="10" t="n">
        <v>44607</v>
      </c>
      <c r="L68" s="18" t="n">
        <f aca="false">IFERROR(J68/K68,"")</f>
        <v>0.310173291187482</v>
      </c>
      <c r="M68" s="19" t="n">
        <v>127.96</v>
      </c>
      <c r="N68" s="12" t="n">
        <f aca="false">J68*M68</f>
        <v>1770441.764</v>
      </c>
    </row>
    <row r="69" customFormat="false" ht="15" hidden="false" customHeight="false" outlineLevel="0" collapsed="false">
      <c r="A69" s="9" t="s">
        <v>145</v>
      </c>
      <c r="B69" s="9" t="s">
        <v>146</v>
      </c>
      <c r="C69" s="9" t="s">
        <v>56</v>
      </c>
      <c r="D69" s="9" t="s">
        <v>61</v>
      </c>
      <c r="E69" s="17" t="n">
        <v>46266</v>
      </c>
      <c r="F69" s="10" t="n">
        <v>0</v>
      </c>
      <c r="G69" s="10" t="n">
        <v>0</v>
      </c>
      <c r="H69" s="10" t="n">
        <v>3545.5</v>
      </c>
      <c r="I69" s="10" t="n">
        <v>0</v>
      </c>
      <c r="J69" s="11" t="n">
        <f aca="false">SUM(F69:I69)</f>
        <v>3545.5</v>
      </c>
      <c r="K69" s="10" t="n">
        <v>9326</v>
      </c>
      <c r="L69" s="18" t="n">
        <f aca="false">IFERROR(J69/K69,"")</f>
        <v>0.38017370791336</v>
      </c>
      <c r="M69" s="19" t="n">
        <v>180.81</v>
      </c>
      <c r="N69" s="12" t="n">
        <f aca="false">J69*M69</f>
        <v>641061.855</v>
      </c>
    </row>
    <row r="70" customFormat="false" ht="15" hidden="false" customHeight="false" outlineLevel="0" collapsed="false">
      <c r="A70" s="9" t="s">
        <v>148</v>
      </c>
      <c r="B70" s="9" t="s">
        <v>149</v>
      </c>
      <c r="C70" s="9" t="s">
        <v>68</v>
      </c>
      <c r="D70" s="9" t="s">
        <v>150</v>
      </c>
      <c r="E70" s="17" t="n">
        <v>46235</v>
      </c>
      <c r="F70" s="10" t="n">
        <v>0</v>
      </c>
      <c r="G70" s="10" t="n">
        <v>0</v>
      </c>
      <c r="H70" s="10" t="n">
        <v>2.1</v>
      </c>
      <c r="I70" s="10" t="n">
        <v>0</v>
      </c>
      <c r="J70" s="11" t="n">
        <f aca="false">SUM(F70:I70)</f>
        <v>2.1</v>
      </c>
      <c r="K70" s="10" t="n">
        <v>640</v>
      </c>
      <c r="L70" s="18" t="n">
        <f aca="false">IFERROR(J70/K70,"")</f>
        <v>0.00328125</v>
      </c>
      <c r="M70" s="19" t="n">
        <v>129.26</v>
      </c>
      <c r="N70" s="12" t="n">
        <f aca="false">J70*M70</f>
        <v>271.446</v>
      </c>
    </row>
    <row r="71" customFormat="false" ht="15" hidden="false" customHeight="false" outlineLevel="0" collapsed="false">
      <c r="A71" s="9" t="s">
        <v>148</v>
      </c>
      <c r="B71" s="9" t="s">
        <v>149</v>
      </c>
      <c r="C71" s="9" t="s">
        <v>68</v>
      </c>
      <c r="D71" s="9" t="s">
        <v>150</v>
      </c>
      <c r="E71" s="17" t="n">
        <v>46266</v>
      </c>
      <c r="F71" s="10" t="n">
        <v>0</v>
      </c>
      <c r="G71" s="10" t="n">
        <v>0</v>
      </c>
      <c r="H71" s="10" t="n">
        <v>1069.6</v>
      </c>
      <c r="I71" s="10" t="n">
        <v>0</v>
      </c>
      <c r="J71" s="11" t="n">
        <f aca="false">SUM(F71:I71)</f>
        <v>1069.6</v>
      </c>
      <c r="K71" s="10" t="n">
        <v>5186</v>
      </c>
      <c r="L71" s="18" t="n">
        <f aca="false">IFERROR(J71/K71,"")</f>
        <v>0.206247589664481</v>
      </c>
      <c r="M71" s="19" t="n">
        <v>182.45</v>
      </c>
      <c r="N71" s="12" t="n">
        <f aca="false">J71*M71</f>
        <v>195148.52</v>
      </c>
    </row>
    <row r="72" customFormat="false" ht="15" hidden="false" customHeight="false" outlineLevel="0" collapsed="false">
      <c r="A72" s="9" t="s">
        <v>151</v>
      </c>
      <c r="B72" s="9" t="s">
        <v>152</v>
      </c>
      <c r="C72" s="9" t="s">
        <v>56</v>
      </c>
      <c r="D72" s="9" t="s">
        <v>80</v>
      </c>
      <c r="E72" s="17" t="n">
        <v>46235</v>
      </c>
      <c r="F72" s="10" t="n">
        <v>0</v>
      </c>
      <c r="G72" s="10" t="n">
        <v>3076.4</v>
      </c>
      <c r="H72" s="10" t="n">
        <v>10237.3</v>
      </c>
      <c r="I72" s="10" t="n">
        <v>0</v>
      </c>
      <c r="J72" s="11" t="n">
        <f aca="false">SUM(F72:I72)</f>
        <v>13313.7</v>
      </c>
      <c r="K72" s="10" t="n">
        <v>32644</v>
      </c>
      <c r="L72" s="18" t="n">
        <f aca="false">IFERROR(J72/K72,"")</f>
        <v>0.407845239553976</v>
      </c>
      <c r="M72" s="19" t="n">
        <v>127.96</v>
      </c>
      <c r="N72" s="12" t="n">
        <f aca="false">J72*M72</f>
        <v>1703621.052</v>
      </c>
    </row>
    <row r="73" customFormat="false" ht="15" hidden="false" customHeight="false" outlineLevel="0" collapsed="false">
      <c r="A73" s="9" t="s">
        <v>151</v>
      </c>
      <c r="B73" s="9" t="s">
        <v>152</v>
      </c>
      <c r="C73" s="9" t="s">
        <v>56</v>
      </c>
      <c r="D73" s="9" t="s">
        <v>80</v>
      </c>
      <c r="E73" s="17" t="n">
        <v>46266</v>
      </c>
      <c r="F73" s="10" t="n">
        <v>0</v>
      </c>
      <c r="G73" s="10" t="n">
        <v>199.2</v>
      </c>
      <c r="H73" s="10" t="n">
        <v>2297.2</v>
      </c>
      <c r="I73" s="10" t="n">
        <v>0</v>
      </c>
      <c r="J73" s="11" t="n">
        <f aca="false">SUM(F73:I73)</f>
        <v>2496.4</v>
      </c>
      <c r="K73" s="10" t="n">
        <v>7470</v>
      </c>
      <c r="L73" s="18" t="n">
        <f aca="false">IFERROR(J73/K73,"")</f>
        <v>0.334190093708166</v>
      </c>
      <c r="M73" s="19" t="n">
        <v>180.81</v>
      </c>
      <c r="N73" s="12" t="n">
        <f aca="false">J73*M73</f>
        <v>451374.084</v>
      </c>
    </row>
    <row r="74" customFormat="false" ht="15" hidden="false" customHeight="false" outlineLevel="0" collapsed="false">
      <c r="A74" s="9" t="s">
        <v>153</v>
      </c>
      <c r="B74" s="9" t="s">
        <v>154</v>
      </c>
      <c r="C74" s="9" t="s">
        <v>56</v>
      </c>
      <c r="D74" s="9" t="s">
        <v>80</v>
      </c>
      <c r="E74" s="17" t="n">
        <v>46235</v>
      </c>
      <c r="F74" s="10" t="n">
        <v>5404.1</v>
      </c>
      <c r="G74" s="10" t="n">
        <v>0</v>
      </c>
      <c r="H74" s="10" t="n">
        <v>22610.6</v>
      </c>
      <c r="I74" s="10" t="n">
        <v>0</v>
      </c>
      <c r="J74" s="11" t="n">
        <f aca="false">SUM(F74:I74)</f>
        <v>28014.7</v>
      </c>
      <c r="K74" s="10" t="n">
        <v>49777</v>
      </c>
      <c r="L74" s="18" t="n">
        <f aca="false">IFERROR(J74/K74,"")</f>
        <v>0.562804106314161</v>
      </c>
      <c r="M74" s="19" t="n">
        <v>127.96</v>
      </c>
      <c r="N74" s="12" t="n">
        <f aca="false">J74*M74</f>
        <v>3584761.012</v>
      </c>
    </row>
    <row r="75" customFormat="false" ht="15" hidden="false" customHeight="false" outlineLevel="0" collapsed="false">
      <c r="A75" s="9" t="s">
        <v>153</v>
      </c>
      <c r="B75" s="9" t="s">
        <v>154</v>
      </c>
      <c r="C75" s="9" t="s">
        <v>56</v>
      </c>
      <c r="D75" s="9" t="s">
        <v>80</v>
      </c>
      <c r="E75" s="17" t="n">
        <v>46266</v>
      </c>
      <c r="F75" s="10" t="n">
        <v>263.9</v>
      </c>
      <c r="G75" s="10" t="n">
        <v>0</v>
      </c>
      <c r="H75" s="10" t="n">
        <v>3745.9</v>
      </c>
      <c r="I75" s="10" t="n">
        <v>0</v>
      </c>
      <c r="J75" s="11" t="n">
        <f aca="false">SUM(F75:I75)</f>
        <v>4009.8</v>
      </c>
      <c r="K75" s="10" t="n">
        <v>10283</v>
      </c>
      <c r="L75" s="18" t="n">
        <f aca="false">IFERROR(J75/K75,"")</f>
        <v>0.389944568705631</v>
      </c>
      <c r="M75" s="19" t="n">
        <v>180.81</v>
      </c>
      <c r="N75" s="12" t="n">
        <f aca="false">J75*M75</f>
        <v>725011.938</v>
      </c>
    </row>
    <row r="76" customFormat="false" ht="15" hidden="false" customHeight="false" outlineLevel="0" collapsed="false">
      <c r="A76" s="9" t="s">
        <v>155</v>
      </c>
      <c r="B76" s="9" t="s">
        <v>156</v>
      </c>
      <c r="C76" s="9" t="s">
        <v>56</v>
      </c>
      <c r="D76" s="9" t="s">
        <v>61</v>
      </c>
      <c r="E76" s="17" t="n">
        <v>46235</v>
      </c>
      <c r="F76" s="10" t="n">
        <v>803.3</v>
      </c>
      <c r="G76" s="10" t="n">
        <v>164.5</v>
      </c>
      <c r="H76" s="10" t="n">
        <v>11380.6</v>
      </c>
      <c r="I76" s="10" t="n">
        <v>0</v>
      </c>
      <c r="J76" s="11" t="n">
        <f aca="false">SUM(F76:I76)</f>
        <v>12348.4</v>
      </c>
      <c r="K76" s="10" t="n">
        <v>48567</v>
      </c>
      <c r="L76" s="18" t="n">
        <f aca="false">IFERROR(J76/K76,"")</f>
        <v>0.254254946774559</v>
      </c>
      <c r="M76" s="19" t="n">
        <v>127.96</v>
      </c>
      <c r="N76" s="12" t="n">
        <f aca="false">J76*M76</f>
        <v>1580101.264</v>
      </c>
    </row>
    <row r="77" customFormat="false" ht="15" hidden="false" customHeight="false" outlineLevel="0" collapsed="false">
      <c r="A77" s="9" t="s">
        <v>155</v>
      </c>
      <c r="B77" s="9" t="s">
        <v>156</v>
      </c>
      <c r="C77" s="9" t="s">
        <v>56</v>
      </c>
      <c r="D77" s="9" t="s">
        <v>61</v>
      </c>
      <c r="E77" s="17" t="n">
        <v>46266</v>
      </c>
      <c r="F77" s="10" t="n">
        <v>0</v>
      </c>
      <c r="G77" s="10" t="n">
        <v>0</v>
      </c>
      <c r="H77" s="10" t="n">
        <v>3348.8</v>
      </c>
      <c r="I77" s="10" t="n">
        <v>0</v>
      </c>
      <c r="J77" s="11" t="n">
        <f aca="false">SUM(F77:I77)</f>
        <v>3348.8</v>
      </c>
      <c r="K77" s="10" t="n">
        <v>11434</v>
      </c>
      <c r="L77" s="18" t="n">
        <f aca="false">IFERROR(J77/K77,"")</f>
        <v>0.292880881581249</v>
      </c>
      <c r="M77" s="19" t="n">
        <v>180.81</v>
      </c>
      <c r="N77" s="12" t="n">
        <f aca="false">J77*M77</f>
        <v>605496.528</v>
      </c>
    </row>
    <row r="78" customFormat="false" ht="15" hidden="false" customHeight="false" outlineLevel="0" collapsed="false">
      <c r="A78" s="9" t="s">
        <v>157</v>
      </c>
      <c r="B78" s="9" t="s">
        <v>158</v>
      </c>
      <c r="C78" s="9" t="s">
        <v>68</v>
      </c>
      <c r="D78" s="9" t="s">
        <v>69</v>
      </c>
      <c r="E78" s="17" t="n">
        <v>46235</v>
      </c>
      <c r="F78" s="10" t="n">
        <v>1827.4</v>
      </c>
      <c r="G78" s="10" t="n">
        <v>0</v>
      </c>
      <c r="H78" s="10" t="n">
        <v>9222.2</v>
      </c>
      <c r="I78" s="10" t="n">
        <v>0</v>
      </c>
      <c r="J78" s="11" t="n">
        <f aca="false">SUM(F78:I78)</f>
        <v>11049.6</v>
      </c>
      <c r="K78" s="10" t="n">
        <v>29939</v>
      </c>
      <c r="L78" s="18" t="n">
        <f aca="false">IFERROR(J78/K78,"")</f>
        <v>0.369070443234577</v>
      </c>
      <c r="M78" s="19" t="n">
        <v>129.26</v>
      </c>
      <c r="N78" s="12" t="n">
        <f aca="false">J78*M78</f>
        <v>1428271.296</v>
      </c>
    </row>
    <row r="79" customFormat="false" ht="15" hidden="false" customHeight="false" outlineLevel="0" collapsed="false">
      <c r="A79" s="9" t="s">
        <v>157</v>
      </c>
      <c r="B79" s="9" t="s">
        <v>158</v>
      </c>
      <c r="C79" s="9" t="s">
        <v>68</v>
      </c>
      <c r="D79" s="9" t="s">
        <v>69</v>
      </c>
      <c r="E79" s="17" t="n">
        <v>46266</v>
      </c>
      <c r="F79" s="10" t="n">
        <v>54.1</v>
      </c>
      <c r="G79" s="10" t="n">
        <v>0</v>
      </c>
      <c r="H79" s="10" t="n">
        <v>1551.6</v>
      </c>
      <c r="I79" s="10" t="n">
        <v>0</v>
      </c>
      <c r="J79" s="11" t="n">
        <f aca="false">SUM(F79:I79)</f>
        <v>1605.7</v>
      </c>
      <c r="K79" s="10" t="n">
        <v>6311</v>
      </c>
      <c r="L79" s="18" t="n">
        <f aca="false">IFERROR(J79/K79,"")</f>
        <v>0.254428775154492</v>
      </c>
      <c r="M79" s="19" t="n">
        <v>182.45</v>
      </c>
      <c r="N79" s="12" t="n">
        <f aca="false">J79*M79</f>
        <v>292959.965</v>
      </c>
    </row>
    <row r="80" customFormat="false" ht="15" hidden="false" customHeight="false" outlineLevel="0" collapsed="false">
      <c r="A80" s="9" t="s">
        <v>159</v>
      </c>
      <c r="B80" s="9" t="s">
        <v>160</v>
      </c>
      <c r="C80" s="9" t="s">
        <v>68</v>
      </c>
      <c r="D80" s="9" t="s">
        <v>69</v>
      </c>
      <c r="E80" s="17" t="n">
        <v>46235</v>
      </c>
      <c r="F80" s="10" t="n">
        <v>17021.9</v>
      </c>
      <c r="G80" s="10" t="n">
        <v>0</v>
      </c>
      <c r="H80" s="10" t="n">
        <v>88084.3</v>
      </c>
      <c r="I80" s="10" t="n">
        <v>0</v>
      </c>
      <c r="J80" s="11" t="n">
        <f aca="false">SUM(F80:I80)</f>
        <v>105106.2</v>
      </c>
      <c r="K80" s="10" t="n">
        <v>301580</v>
      </c>
      <c r="L80" s="18" t="n">
        <f aca="false">IFERROR(J80/K80,"")</f>
        <v>0.348518469394522</v>
      </c>
      <c r="M80" s="19" t="n">
        <v>129.26</v>
      </c>
      <c r="N80" s="12" t="n">
        <f aca="false">J80*M80</f>
        <v>13586027.412</v>
      </c>
    </row>
    <row r="81" customFormat="false" ht="15" hidden="false" customHeight="false" outlineLevel="0" collapsed="false">
      <c r="A81" s="9" t="s">
        <v>159</v>
      </c>
      <c r="B81" s="9" t="s">
        <v>160</v>
      </c>
      <c r="C81" s="9" t="s">
        <v>68</v>
      </c>
      <c r="D81" s="9" t="s">
        <v>69</v>
      </c>
      <c r="E81" s="17" t="n">
        <v>46266</v>
      </c>
      <c r="F81" s="10" t="n">
        <v>26.4</v>
      </c>
      <c r="G81" s="10" t="n">
        <v>0</v>
      </c>
      <c r="H81" s="10" t="n">
        <v>12444.3</v>
      </c>
      <c r="I81" s="10" t="n">
        <v>0</v>
      </c>
      <c r="J81" s="11" t="n">
        <f aca="false">SUM(F81:I81)</f>
        <v>12470.7</v>
      </c>
      <c r="K81" s="10" t="n">
        <v>60756</v>
      </c>
      <c r="L81" s="18" t="n">
        <f aca="false">IFERROR(J81/K81,"")</f>
        <v>0.205258739877543</v>
      </c>
      <c r="M81" s="19" t="n">
        <v>182.45</v>
      </c>
      <c r="N81" s="12" t="n">
        <f aca="false">J81*M81</f>
        <v>2275279.215</v>
      </c>
    </row>
    <row r="82" customFormat="false" ht="15" hidden="false" customHeight="false" outlineLevel="0" collapsed="false">
      <c r="A82" s="9" t="s">
        <v>161</v>
      </c>
      <c r="B82" s="9" t="s">
        <v>162</v>
      </c>
      <c r="C82" s="9" t="s">
        <v>68</v>
      </c>
      <c r="D82" s="9" t="s">
        <v>69</v>
      </c>
      <c r="E82" s="17" t="n">
        <v>46235</v>
      </c>
      <c r="F82" s="10" t="n">
        <v>951</v>
      </c>
      <c r="G82" s="10" t="n">
        <v>0</v>
      </c>
      <c r="H82" s="10" t="n">
        <v>7043.7</v>
      </c>
      <c r="I82" s="10" t="n">
        <v>0</v>
      </c>
      <c r="J82" s="11" t="n">
        <f aca="false">SUM(F82:I82)</f>
        <v>7994.7</v>
      </c>
      <c r="K82" s="10" t="n">
        <v>25433</v>
      </c>
      <c r="L82" s="18" t="n">
        <f aca="false">IFERROR(J82/K82,"")</f>
        <v>0.314343569378367</v>
      </c>
      <c r="M82" s="19" t="n">
        <v>129.26</v>
      </c>
      <c r="N82" s="12" t="n">
        <f aca="false">J82*M82</f>
        <v>1033394.922</v>
      </c>
    </row>
    <row r="83" customFormat="false" ht="15" hidden="false" customHeight="false" outlineLevel="0" collapsed="false">
      <c r="A83" s="9" t="s">
        <v>161</v>
      </c>
      <c r="B83" s="9" t="s">
        <v>162</v>
      </c>
      <c r="C83" s="9" t="s">
        <v>68</v>
      </c>
      <c r="D83" s="9" t="s">
        <v>69</v>
      </c>
      <c r="E83" s="17" t="n">
        <v>46266</v>
      </c>
      <c r="F83" s="10" t="n">
        <v>0</v>
      </c>
      <c r="G83" s="10" t="n">
        <v>0</v>
      </c>
      <c r="H83" s="10" t="n">
        <v>1112.9</v>
      </c>
      <c r="I83" s="10" t="n">
        <v>0</v>
      </c>
      <c r="J83" s="11" t="n">
        <f aca="false">SUM(F83:I83)</f>
        <v>1112.9</v>
      </c>
      <c r="K83" s="10" t="n">
        <v>5934</v>
      </c>
      <c r="L83" s="18" t="n">
        <f aca="false">IFERROR(J83/K83,"")</f>
        <v>0.187546343107516</v>
      </c>
      <c r="M83" s="19" t="n">
        <v>182.45</v>
      </c>
      <c r="N83" s="12" t="n">
        <f aca="false">J83*M83</f>
        <v>203048.605</v>
      </c>
    </row>
    <row r="84" customFormat="false" ht="15" hidden="false" customHeight="false" outlineLevel="0" collapsed="false">
      <c r="A84" s="9" t="s">
        <v>163</v>
      </c>
      <c r="B84" s="9" t="s">
        <v>164</v>
      </c>
      <c r="C84" s="9" t="s">
        <v>68</v>
      </c>
      <c r="D84" s="9" t="s">
        <v>69</v>
      </c>
      <c r="E84" s="17" t="n">
        <v>46235</v>
      </c>
      <c r="F84" s="10" t="n">
        <v>6078.3</v>
      </c>
      <c r="G84" s="10" t="n">
        <v>0</v>
      </c>
      <c r="H84" s="10" t="n">
        <v>32379.8</v>
      </c>
      <c r="I84" s="10" t="n">
        <v>0</v>
      </c>
      <c r="J84" s="11" t="n">
        <f aca="false">SUM(F84:I84)</f>
        <v>38458.1</v>
      </c>
      <c r="K84" s="10" t="n">
        <v>113741</v>
      </c>
      <c r="L84" s="18" t="n">
        <f aca="false">IFERROR(J84/K84,"")</f>
        <v>0.338119939160021</v>
      </c>
      <c r="M84" s="19" t="n">
        <v>129.26</v>
      </c>
      <c r="N84" s="12" t="n">
        <f aca="false">J84*M84</f>
        <v>4971094.006</v>
      </c>
    </row>
    <row r="85" customFormat="false" ht="15" hidden="false" customHeight="false" outlineLevel="0" collapsed="false">
      <c r="A85" s="9" t="s">
        <v>163</v>
      </c>
      <c r="B85" s="9" t="s">
        <v>164</v>
      </c>
      <c r="C85" s="9" t="s">
        <v>68</v>
      </c>
      <c r="D85" s="9" t="s">
        <v>69</v>
      </c>
      <c r="E85" s="17" t="n">
        <v>46266</v>
      </c>
      <c r="F85" s="10" t="n">
        <v>191.4</v>
      </c>
      <c r="G85" s="10" t="n">
        <v>0</v>
      </c>
      <c r="H85" s="10" t="n">
        <v>5726.4</v>
      </c>
      <c r="I85" s="10" t="n">
        <v>0</v>
      </c>
      <c r="J85" s="11" t="n">
        <f aca="false">SUM(F85:I85)</f>
        <v>5917.8</v>
      </c>
      <c r="K85" s="10" t="n">
        <v>24109</v>
      </c>
      <c r="L85" s="18" t="n">
        <f aca="false">IFERROR(J85/K85,"")</f>
        <v>0.245460201584471</v>
      </c>
      <c r="M85" s="19" t="n">
        <v>182.45</v>
      </c>
      <c r="N85" s="12" t="n">
        <f aca="false">J85*M85</f>
        <v>1079702.61</v>
      </c>
    </row>
    <row r="86" customFormat="false" ht="15" hidden="false" customHeight="false" outlineLevel="0" collapsed="false">
      <c r="A86" s="9" t="s">
        <v>165</v>
      </c>
      <c r="B86" s="9" t="s">
        <v>166</v>
      </c>
      <c r="C86" s="9" t="s">
        <v>56</v>
      </c>
      <c r="D86" s="9" t="s">
        <v>80</v>
      </c>
      <c r="E86" s="17" t="n">
        <v>46235</v>
      </c>
      <c r="F86" s="10" t="n">
        <v>731</v>
      </c>
      <c r="G86" s="10" t="n">
        <v>735.2</v>
      </c>
      <c r="H86" s="10" t="n">
        <v>17664.2</v>
      </c>
      <c r="I86" s="10" t="n">
        <v>0</v>
      </c>
      <c r="J86" s="11" t="n">
        <f aca="false">SUM(F86:I86)</f>
        <v>19130.4</v>
      </c>
      <c r="K86" s="10" t="n">
        <v>67087</v>
      </c>
      <c r="L86" s="18" t="n">
        <f aca="false">IFERROR(J86/K86,"")</f>
        <v>0.285158078316216</v>
      </c>
      <c r="M86" s="19" t="n">
        <v>127.96</v>
      </c>
      <c r="N86" s="12" t="n">
        <f aca="false">J86*M86</f>
        <v>2447925.984</v>
      </c>
    </row>
    <row r="87" customFormat="false" ht="15" hidden="false" customHeight="false" outlineLevel="0" collapsed="false">
      <c r="A87" s="9" t="s">
        <v>165</v>
      </c>
      <c r="B87" s="9" t="s">
        <v>166</v>
      </c>
      <c r="C87" s="9" t="s">
        <v>56</v>
      </c>
      <c r="D87" s="9" t="s">
        <v>80</v>
      </c>
      <c r="E87" s="17" t="n">
        <v>46266</v>
      </c>
      <c r="F87" s="10" t="n">
        <v>0</v>
      </c>
      <c r="G87" s="10" t="n">
        <v>33.8</v>
      </c>
      <c r="H87" s="10" t="n">
        <v>2822.8</v>
      </c>
      <c r="I87" s="10" t="n">
        <v>0</v>
      </c>
      <c r="J87" s="11" t="n">
        <f aca="false">SUM(F87:I87)</f>
        <v>2856.6</v>
      </c>
      <c r="K87" s="10" t="n">
        <v>14637</v>
      </c>
      <c r="L87" s="18" t="n">
        <f aca="false">IFERROR(J87/K87,"")</f>
        <v>0.195162943226071</v>
      </c>
      <c r="M87" s="19" t="n">
        <v>180.81</v>
      </c>
      <c r="N87" s="12" t="n">
        <f aca="false">J87*M87</f>
        <v>516501.846</v>
      </c>
    </row>
    <row r="88" customFormat="false" ht="15" hidden="false" customHeight="false" outlineLevel="0" collapsed="false">
      <c r="A88" s="9" t="s">
        <v>167</v>
      </c>
      <c r="B88" s="9" t="s">
        <v>168</v>
      </c>
      <c r="C88" s="9" t="s">
        <v>56</v>
      </c>
      <c r="D88" s="9" t="s">
        <v>80</v>
      </c>
      <c r="E88" s="17" t="n">
        <v>46235</v>
      </c>
      <c r="F88" s="10" t="n">
        <v>1597.2</v>
      </c>
      <c r="G88" s="10" t="n">
        <v>0</v>
      </c>
      <c r="H88" s="10" t="n">
        <v>5116.7</v>
      </c>
      <c r="I88" s="10" t="n">
        <v>0</v>
      </c>
      <c r="J88" s="11" t="n">
        <f aca="false">SUM(F88:I88)</f>
        <v>6713.9</v>
      </c>
      <c r="K88" s="10" t="n">
        <v>12890</v>
      </c>
      <c r="L88" s="18" t="n">
        <f aca="false">IFERROR(J88/K88,"")</f>
        <v>0.520861132660977</v>
      </c>
      <c r="M88" s="19" t="n">
        <v>127.96</v>
      </c>
      <c r="N88" s="12" t="n">
        <f aca="false">J88*M88</f>
        <v>859110.644</v>
      </c>
    </row>
    <row r="89" customFormat="false" ht="15" hidden="false" customHeight="false" outlineLevel="0" collapsed="false">
      <c r="A89" s="9" t="s">
        <v>167</v>
      </c>
      <c r="B89" s="9" t="s">
        <v>168</v>
      </c>
      <c r="C89" s="9" t="s">
        <v>56</v>
      </c>
      <c r="D89" s="9" t="s">
        <v>80</v>
      </c>
      <c r="E89" s="17" t="n">
        <v>46266</v>
      </c>
      <c r="F89" s="10" t="n">
        <v>87.3</v>
      </c>
      <c r="G89" s="10" t="n">
        <v>0</v>
      </c>
      <c r="H89" s="10" t="n">
        <v>794</v>
      </c>
      <c r="I89" s="10" t="n">
        <v>0</v>
      </c>
      <c r="J89" s="11" t="n">
        <f aca="false">SUM(F89:I89)</f>
        <v>881.3</v>
      </c>
      <c r="K89" s="10" t="n">
        <v>2790</v>
      </c>
      <c r="L89" s="18" t="n">
        <f aca="false">IFERROR(J89/K89,"")</f>
        <v>0.315878136200717</v>
      </c>
      <c r="M89" s="19" t="n">
        <v>180.81</v>
      </c>
      <c r="N89" s="12" t="n">
        <f aca="false">J89*M89</f>
        <v>159347.853</v>
      </c>
    </row>
    <row r="90" customFormat="false" ht="15" hidden="false" customHeight="false" outlineLevel="0" collapsed="false">
      <c r="A90" s="9" t="s">
        <v>169</v>
      </c>
      <c r="B90" s="9" t="s">
        <v>170</v>
      </c>
      <c r="C90" s="9" t="s">
        <v>68</v>
      </c>
      <c r="D90" s="9" t="s">
        <v>69</v>
      </c>
      <c r="E90" s="17" t="n">
        <v>46235</v>
      </c>
      <c r="F90" s="10" t="n">
        <v>5427.7</v>
      </c>
      <c r="G90" s="10" t="n">
        <v>0</v>
      </c>
      <c r="H90" s="10" t="n">
        <v>23018.8</v>
      </c>
      <c r="I90" s="10" t="n">
        <v>0</v>
      </c>
      <c r="J90" s="11" t="n">
        <f aca="false">SUM(F90:I90)</f>
        <v>28446.5</v>
      </c>
      <c r="K90" s="10" t="n">
        <v>89994</v>
      </c>
      <c r="L90" s="18" t="n">
        <f aca="false">IFERROR(J90/K90,"")</f>
        <v>0.316093295108563</v>
      </c>
      <c r="M90" s="19" t="n">
        <v>129.26</v>
      </c>
      <c r="N90" s="12" t="n">
        <f aca="false">J90*M90</f>
        <v>3676994.59</v>
      </c>
    </row>
    <row r="91" customFormat="false" ht="15" hidden="false" customHeight="false" outlineLevel="0" collapsed="false">
      <c r="A91" s="9" t="s">
        <v>169</v>
      </c>
      <c r="B91" s="9" t="s">
        <v>170</v>
      </c>
      <c r="C91" s="9" t="s">
        <v>68</v>
      </c>
      <c r="D91" s="9" t="s">
        <v>69</v>
      </c>
      <c r="E91" s="17" t="n">
        <v>46266</v>
      </c>
      <c r="F91" s="10" t="n">
        <v>0</v>
      </c>
      <c r="G91" s="10" t="n">
        <v>0</v>
      </c>
      <c r="H91" s="10" t="n">
        <v>3809.4</v>
      </c>
      <c r="I91" s="10" t="n">
        <v>0</v>
      </c>
      <c r="J91" s="11" t="n">
        <f aca="false">SUM(F91:I91)</f>
        <v>3809.4</v>
      </c>
      <c r="K91" s="10" t="n">
        <v>16991</v>
      </c>
      <c r="L91" s="18" t="n">
        <f aca="false">IFERROR(J91/K91,"")</f>
        <v>0.224201047613442</v>
      </c>
      <c r="M91" s="19" t="n">
        <v>182.45</v>
      </c>
      <c r="N91" s="12" t="n">
        <f aca="false">J91*M91</f>
        <v>695025.03</v>
      </c>
    </row>
    <row r="92" customFormat="false" ht="15" hidden="false" customHeight="false" outlineLevel="0" collapsed="false">
      <c r="A92" s="9" t="s">
        <v>171</v>
      </c>
      <c r="B92" s="9" t="s">
        <v>172</v>
      </c>
      <c r="C92" s="9" t="s">
        <v>56</v>
      </c>
      <c r="D92" s="9" t="s">
        <v>61</v>
      </c>
      <c r="E92" s="17" t="n">
        <v>46235</v>
      </c>
      <c r="F92" s="10" t="n">
        <v>1701.2</v>
      </c>
      <c r="G92" s="10" t="n">
        <v>0</v>
      </c>
      <c r="H92" s="10" t="n">
        <v>13105.8</v>
      </c>
      <c r="I92" s="10" t="n">
        <v>0</v>
      </c>
      <c r="J92" s="11" t="n">
        <f aca="false">SUM(F92:I92)</f>
        <v>14807</v>
      </c>
      <c r="K92" s="10" t="n">
        <v>45271</v>
      </c>
      <c r="L92" s="18" t="n">
        <f aca="false">IFERROR(J92/K92,"")</f>
        <v>0.327074727750657</v>
      </c>
      <c r="M92" s="19" t="n">
        <v>127.96</v>
      </c>
      <c r="N92" s="12" t="n">
        <f aca="false">J92*M92</f>
        <v>1894703.72</v>
      </c>
    </row>
    <row r="93" customFormat="false" ht="15" hidden="false" customHeight="false" outlineLevel="0" collapsed="false">
      <c r="A93" s="9" t="s">
        <v>171</v>
      </c>
      <c r="B93" s="9" t="s">
        <v>172</v>
      </c>
      <c r="C93" s="9" t="s">
        <v>56</v>
      </c>
      <c r="D93" s="9" t="s">
        <v>61</v>
      </c>
      <c r="E93" s="17" t="n">
        <v>46266</v>
      </c>
      <c r="F93" s="10" t="n">
        <v>0</v>
      </c>
      <c r="G93" s="10" t="n">
        <v>0</v>
      </c>
      <c r="H93" s="10" t="n">
        <v>3838.1</v>
      </c>
      <c r="I93" s="10" t="n">
        <v>0</v>
      </c>
      <c r="J93" s="11" t="n">
        <f aca="false">SUM(F93:I93)</f>
        <v>3838.1</v>
      </c>
      <c r="K93" s="10" t="n">
        <v>10084</v>
      </c>
      <c r="L93" s="18" t="n">
        <f aca="false">IFERROR(J93/K93,"")</f>
        <v>0.38061285204284</v>
      </c>
      <c r="M93" s="19" t="n">
        <v>180.81</v>
      </c>
      <c r="N93" s="12" t="n">
        <f aca="false">J93*M93</f>
        <v>693966.861</v>
      </c>
    </row>
    <row r="94" customFormat="false" ht="15" hidden="false" customHeight="false" outlineLevel="0" collapsed="false">
      <c r="A94" s="9" t="s">
        <v>173</v>
      </c>
      <c r="B94" s="9" t="s">
        <v>174</v>
      </c>
      <c r="C94" s="9" t="s">
        <v>56</v>
      </c>
      <c r="D94" s="9" t="s">
        <v>61</v>
      </c>
      <c r="E94" s="17" t="n">
        <v>46235</v>
      </c>
      <c r="F94" s="10" t="n">
        <v>0</v>
      </c>
      <c r="G94" s="10" t="n">
        <v>0</v>
      </c>
      <c r="H94" s="10" t="n">
        <v>8555.8</v>
      </c>
      <c r="I94" s="10" t="n">
        <v>0</v>
      </c>
      <c r="J94" s="11" t="n">
        <f aca="false">SUM(F94:I94)</f>
        <v>8555.8</v>
      </c>
      <c r="K94" s="10" t="n">
        <v>40821</v>
      </c>
      <c r="L94" s="18" t="n">
        <f aca="false">IFERROR(J94/K94,"")</f>
        <v>0.209593101589868</v>
      </c>
      <c r="M94" s="19" t="n">
        <v>127.96</v>
      </c>
      <c r="N94" s="12" t="n">
        <f aca="false">J94*M94</f>
        <v>1094800.168</v>
      </c>
    </row>
    <row r="95" customFormat="false" ht="15" hidden="false" customHeight="false" outlineLevel="0" collapsed="false">
      <c r="A95" s="9" t="s">
        <v>173</v>
      </c>
      <c r="B95" s="9" t="s">
        <v>174</v>
      </c>
      <c r="C95" s="9" t="s">
        <v>56</v>
      </c>
      <c r="D95" s="9" t="s">
        <v>61</v>
      </c>
      <c r="E95" s="17" t="n">
        <v>46266</v>
      </c>
      <c r="F95" s="10" t="n">
        <v>0</v>
      </c>
      <c r="G95" s="10" t="n">
        <v>0</v>
      </c>
      <c r="H95" s="10" t="n">
        <v>3232.5</v>
      </c>
      <c r="I95" s="10" t="n">
        <v>0</v>
      </c>
      <c r="J95" s="11" t="n">
        <f aca="false">SUM(F95:I95)</f>
        <v>3232.5</v>
      </c>
      <c r="K95" s="10" t="n">
        <v>9038</v>
      </c>
      <c r="L95" s="18" t="n">
        <f aca="false">IFERROR(J95/K95,"")</f>
        <v>0.357656561186103</v>
      </c>
      <c r="M95" s="19" t="n">
        <v>180.81</v>
      </c>
      <c r="N95" s="12" t="n">
        <f aca="false">J95*M95</f>
        <v>584468.325</v>
      </c>
    </row>
    <row r="96" customFormat="false" ht="15" hidden="false" customHeight="false" outlineLevel="0" collapsed="false">
      <c r="A96" s="9" t="s">
        <v>175</v>
      </c>
      <c r="B96" s="9" t="s">
        <v>176</v>
      </c>
      <c r="C96" s="9" t="s">
        <v>56</v>
      </c>
      <c r="D96" s="9" t="s">
        <v>177</v>
      </c>
      <c r="E96" s="17" t="n">
        <v>46235</v>
      </c>
      <c r="F96" s="10" t="n">
        <v>1.9</v>
      </c>
      <c r="G96" s="10" t="n">
        <v>0</v>
      </c>
      <c r="H96" s="10" t="n">
        <v>4486.7</v>
      </c>
      <c r="I96" s="10" t="n">
        <v>0</v>
      </c>
      <c r="J96" s="11" t="n">
        <f aca="false">SUM(F96:I96)</f>
        <v>4488.6</v>
      </c>
      <c r="K96" s="10" t="n">
        <v>24280</v>
      </c>
      <c r="L96" s="18" t="n">
        <f aca="false">IFERROR(J96/K96,"")</f>
        <v>0.184868204283361</v>
      </c>
      <c r="M96" s="19" t="n">
        <v>127.96</v>
      </c>
      <c r="N96" s="12" t="n">
        <f aca="false">J96*M96</f>
        <v>574361.256</v>
      </c>
    </row>
    <row r="97" customFormat="false" ht="15" hidden="false" customHeight="false" outlineLevel="0" collapsed="false">
      <c r="A97" s="9" t="s">
        <v>175</v>
      </c>
      <c r="B97" s="9" t="s">
        <v>176</v>
      </c>
      <c r="C97" s="9" t="s">
        <v>56</v>
      </c>
      <c r="D97" s="9" t="s">
        <v>177</v>
      </c>
      <c r="E97" s="17" t="n">
        <v>46266</v>
      </c>
      <c r="F97" s="10" t="n">
        <v>0</v>
      </c>
      <c r="G97" s="10" t="n">
        <v>0</v>
      </c>
      <c r="H97" s="10" t="n">
        <v>2284</v>
      </c>
      <c r="I97" s="10" t="n">
        <v>0</v>
      </c>
      <c r="J97" s="11" t="n">
        <f aca="false">SUM(F97:I97)</f>
        <v>2284</v>
      </c>
      <c r="K97" s="10" t="n">
        <v>5214</v>
      </c>
      <c r="L97" s="18" t="n">
        <f aca="false">IFERROR(J97/K97,"")</f>
        <v>0.438051400076717</v>
      </c>
      <c r="M97" s="19" t="n">
        <v>180.81</v>
      </c>
      <c r="N97" s="12" t="n">
        <f aca="false">J97*M97</f>
        <v>412970.04</v>
      </c>
    </row>
    <row r="98" customFormat="false" ht="15" hidden="false" customHeight="false" outlineLevel="0" collapsed="false">
      <c r="A98" s="9" t="s">
        <v>179</v>
      </c>
      <c r="B98" s="9" t="s">
        <v>180</v>
      </c>
      <c r="C98" s="9" t="s">
        <v>56</v>
      </c>
      <c r="D98" s="9" t="s">
        <v>137</v>
      </c>
      <c r="E98" s="17" t="n">
        <v>46235</v>
      </c>
      <c r="F98" s="10" t="n">
        <v>928.8</v>
      </c>
      <c r="G98" s="10" t="n">
        <v>0</v>
      </c>
      <c r="H98" s="10" t="n">
        <v>24113.5</v>
      </c>
      <c r="I98" s="10" t="n">
        <v>0</v>
      </c>
      <c r="J98" s="11" t="n">
        <f aca="false">SUM(F98:I98)</f>
        <v>25042.3</v>
      </c>
      <c r="K98" s="10" t="n">
        <v>87365</v>
      </c>
      <c r="L98" s="18" t="n">
        <f aca="false">IFERROR(J98/K98,"")</f>
        <v>0.286639958793567</v>
      </c>
      <c r="M98" s="19" t="n">
        <v>127.96</v>
      </c>
      <c r="N98" s="12" t="n">
        <f aca="false">J98*M98</f>
        <v>3204412.708</v>
      </c>
    </row>
    <row r="99" customFormat="false" ht="15" hidden="false" customHeight="false" outlineLevel="0" collapsed="false">
      <c r="A99" s="9" t="s">
        <v>179</v>
      </c>
      <c r="B99" s="9" t="s">
        <v>180</v>
      </c>
      <c r="C99" s="9" t="s">
        <v>56</v>
      </c>
      <c r="D99" s="9" t="s">
        <v>137</v>
      </c>
      <c r="E99" s="17" t="n">
        <v>46266</v>
      </c>
      <c r="F99" s="10" t="n">
        <v>0</v>
      </c>
      <c r="G99" s="10" t="n">
        <v>0</v>
      </c>
      <c r="H99" s="10" t="n">
        <v>5807.8</v>
      </c>
      <c r="I99" s="10" t="n">
        <v>0</v>
      </c>
      <c r="J99" s="11" t="n">
        <f aca="false">SUM(F99:I99)</f>
        <v>5807.8</v>
      </c>
      <c r="K99" s="10" t="n">
        <v>20039</v>
      </c>
      <c r="L99" s="18" t="n">
        <f aca="false">IFERROR(J99/K99,"")</f>
        <v>0.28982484155896</v>
      </c>
      <c r="M99" s="19" t="n">
        <v>180.81</v>
      </c>
      <c r="N99" s="12" t="n">
        <f aca="false">J99*M99</f>
        <v>1050108.318</v>
      </c>
    </row>
    <row r="100" customFormat="false" ht="15" hidden="false" customHeight="false" outlineLevel="0" collapsed="false">
      <c r="A100" s="9" t="s">
        <v>181</v>
      </c>
      <c r="B100" s="9" t="s">
        <v>182</v>
      </c>
      <c r="C100" s="9" t="s">
        <v>56</v>
      </c>
      <c r="D100" s="9" t="s">
        <v>61</v>
      </c>
      <c r="E100" s="17" t="n">
        <v>46235</v>
      </c>
      <c r="F100" s="10" t="n">
        <v>707.5</v>
      </c>
      <c r="G100" s="10" t="n">
        <v>0</v>
      </c>
      <c r="H100" s="10" t="n">
        <v>16611.7</v>
      </c>
      <c r="I100" s="10" t="n">
        <v>0</v>
      </c>
      <c r="J100" s="11" t="n">
        <f aca="false">SUM(F100:I100)</f>
        <v>17319.2</v>
      </c>
      <c r="K100" s="10" t="n">
        <v>79336</v>
      </c>
      <c r="L100" s="18" t="n">
        <f aca="false">IFERROR(J100/K100,"")</f>
        <v>0.218301905818292</v>
      </c>
      <c r="M100" s="19" t="n">
        <v>127.96</v>
      </c>
      <c r="N100" s="12" t="n">
        <f aca="false">J100*M100</f>
        <v>2216164.832</v>
      </c>
    </row>
    <row r="101" customFormat="false" ht="15" hidden="false" customHeight="false" outlineLevel="0" collapsed="false">
      <c r="A101" s="9" t="s">
        <v>181</v>
      </c>
      <c r="B101" s="9" t="s">
        <v>182</v>
      </c>
      <c r="C101" s="9" t="s">
        <v>56</v>
      </c>
      <c r="D101" s="9" t="s">
        <v>61</v>
      </c>
      <c r="E101" s="17" t="n">
        <v>46266</v>
      </c>
      <c r="F101" s="10" t="n">
        <v>0</v>
      </c>
      <c r="G101" s="10" t="n">
        <v>0</v>
      </c>
      <c r="H101" s="10" t="n">
        <v>5516.5</v>
      </c>
      <c r="I101" s="10" t="n">
        <v>0</v>
      </c>
      <c r="J101" s="11" t="n">
        <f aca="false">SUM(F101:I101)</f>
        <v>5516.5</v>
      </c>
      <c r="K101" s="10" t="n">
        <v>18225</v>
      </c>
      <c r="L101" s="18" t="n">
        <f aca="false">IFERROR(J101/K101,"")</f>
        <v>0.302688614540466</v>
      </c>
      <c r="M101" s="19" t="n">
        <v>180.81</v>
      </c>
      <c r="N101" s="12" t="n">
        <f aca="false">J101*M101</f>
        <v>997438.365</v>
      </c>
    </row>
    <row r="102" customFormat="false" ht="15" hidden="false" customHeight="false" outlineLevel="0" collapsed="false">
      <c r="A102" s="9" t="s">
        <v>183</v>
      </c>
      <c r="B102" s="9" t="s">
        <v>184</v>
      </c>
      <c r="C102" s="9" t="s">
        <v>56</v>
      </c>
      <c r="D102" s="9" t="s">
        <v>57</v>
      </c>
      <c r="E102" s="17" t="n">
        <v>46235</v>
      </c>
      <c r="F102" s="10" t="n">
        <v>824.9</v>
      </c>
      <c r="G102" s="10" t="n">
        <v>4259.6</v>
      </c>
      <c r="H102" s="10" t="n">
        <v>17101.8</v>
      </c>
      <c r="I102" s="10" t="n">
        <v>0</v>
      </c>
      <c r="J102" s="11" t="n">
        <f aca="false">SUM(F102:I102)</f>
        <v>22186.3</v>
      </c>
      <c r="K102" s="10" t="n">
        <v>43817</v>
      </c>
      <c r="L102" s="18" t="n">
        <f aca="false">IFERROR(J102/K102,"")</f>
        <v>0.506340005020882</v>
      </c>
      <c r="M102" s="19" t="n">
        <v>127.96</v>
      </c>
      <c r="N102" s="12" t="n">
        <f aca="false">J102*M102</f>
        <v>2838958.948</v>
      </c>
    </row>
    <row r="103" customFormat="false" ht="15" hidden="false" customHeight="false" outlineLevel="0" collapsed="false">
      <c r="A103" s="9" t="s">
        <v>183</v>
      </c>
      <c r="B103" s="9" t="s">
        <v>184</v>
      </c>
      <c r="C103" s="9" t="s">
        <v>56</v>
      </c>
      <c r="D103" s="9" t="s">
        <v>57</v>
      </c>
      <c r="E103" s="17" t="n">
        <v>46266</v>
      </c>
      <c r="F103" s="10" t="n">
        <v>0</v>
      </c>
      <c r="G103" s="10" t="n">
        <v>572.4</v>
      </c>
      <c r="H103" s="10" t="n">
        <v>3457.4</v>
      </c>
      <c r="I103" s="10" t="n">
        <v>0</v>
      </c>
      <c r="J103" s="11" t="n">
        <f aca="false">SUM(F103:I103)</f>
        <v>4029.8</v>
      </c>
      <c r="K103" s="10" t="n">
        <v>10550</v>
      </c>
      <c r="L103" s="18" t="n">
        <f aca="false">IFERROR(J103/K103,"")</f>
        <v>0.381971563981043</v>
      </c>
      <c r="M103" s="19" t="n">
        <v>180.81</v>
      </c>
      <c r="N103" s="12" t="n">
        <f aca="false">J103*M103</f>
        <v>728628.138</v>
      </c>
    </row>
    <row r="104" customFormat="false" ht="15" hidden="false" customHeight="false" outlineLevel="0" collapsed="false">
      <c r="A104" s="9" t="s">
        <v>186</v>
      </c>
      <c r="B104" s="9" t="s">
        <v>187</v>
      </c>
      <c r="C104" s="9" t="s">
        <v>56</v>
      </c>
      <c r="D104" s="9" t="s">
        <v>137</v>
      </c>
      <c r="E104" s="17" t="n">
        <v>46235</v>
      </c>
      <c r="F104" s="10" t="n">
        <v>1622.8</v>
      </c>
      <c r="G104" s="10" t="n">
        <v>313.4</v>
      </c>
      <c r="H104" s="10" t="n">
        <v>12212.6</v>
      </c>
      <c r="I104" s="10" t="n">
        <v>0</v>
      </c>
      <c r="J104" s="11" t="n">
        <f aca="false">SUM(F104:I104)</f>
        <v>14148.8</v>
      </c>
      <c r="K104" s="10" t="n">
        <v>54410</v>
      </c>
      <c r="L104" s="18" t="n">
        <f aca="false">IFERROR(J104/K104,"")</f>
        <v>0.260040433743797</v>
      </c>
      <c r="M104" s="19" t="n">
        <v>127.96</v>
      </c>
      <c r="N104" s="12" t="n">
        <f aca="false">J104*M104</f>
        <v>1810480.448</v>
      </c>
    </row>
    <row r="105" customFormat="false" ht="15" hidden="false" customHeight="false" outlineLevel="0" collapsed="false">
      <c r="A105" s="9" t="s">
        <v>186</v>
      </c>
      <c r="B105" s="9" t="s">
        <v>187</v>
      </c>
      <c r="C105" s="9" t="s">
        <v>56</v>
      </c>
      <c r="D105" s="9" t="s">
        <v>137</v>
      </c>
      <c r="E105" s="17" t="n">
        <v>46266</v>
      </c>
      <c r="F105" s="10" t="n">
        <v>0</v>
      </c>
      <c r="G105" s="10" t="n">
        <v>67.6</v>
      </c>
      <c r="H105" s="10" t="n">
        <v>3571.4</v>
      </c>
      <c r="I105" s="10" t="n">
        <v>0</v>
      </c>
      <c r="J105" s="11" t="n">
        <f aca="false">SUM(F105:I105)</f>
        <v>3639</v>
      </c>
      <c r="K105" s="10" t="n">
        <v>11911</v>
      </c>
      <c r="L105" s="18" t="n">
        <f aca="false">IFERROR(J105/K105,"")</f>
        <v>0.305515909663336</v>
      </c>
      <c r="M105" s="19" t="n">
        <v>180.81</v>
      </c>
      <c r="N105" s="12" t="n">
        <f aca="false">J105*M105</f>
        <v>657967.59</v>
      </c>
    </row>
    <row r="106" customFormat="false" ht="15" hidden="false" customHeight="false" outlineLevel="0" collapsed="false">
      <c r="A106" s="9" t="s">
        <v>188</v>
      </c>
      <c r="B106" s="9" t="s">
        <v>189</v>
      </c>
      <c r="C106" s="9" t="s">
        <v>68</v>
      </c>
      <c r="D106" s="9" t="s">
        <v>69</v>
      </c>
      <c r="E106" s="17" t="n">
        <v>46235</v>
      </c>
      <c r="F106" s="10" t="n">
        <v>396.4</v>
      </c>
      <c r="G106" s="10" t="n">
        <v>0</v>
      </c>
      <c r="H106" s="10" t="n">
        <v>22091.9</v>
      </c>
      <c r="I106" s="10" t="n">
        <v>0</v>
      </c>
      <c r="J106" s="11" t="n">
        <f aca="false">SUM(F106:I106)</f>
        <v>22488.3</v>
      </c>
      <c r="K106" s="10" t="n">
        <v>72127</v>
      </c>
      <c r="L106" s="18" t="n">
        <f aca="false">IFERROR(J106/K106,"")</f>
        <v>0.311787541419995</v>
      </c>
      <c r="M106" s="19" t="n">
        <v>129.26</v>
      </c>
      <c r="N106" s="12" t="n">
        <f aca="false">J106*M106</f>
        <v>2906837.658</v>
      </c>
    </row>
    <row r="107" customFormat="false" ht="15" hidden="false" customHeight="false" outlineLevel="0" collapsed="false">
      <c r="A107" s="9" t="s">
        <v>188</v>
      </c>
      <c r="B107" s="9" t="s">
        <v>189</v>
      </c>
      <c r="C107" s="9" t="s">
        <v>68</v>
      </c>
      <c r="D107" s="9" t="s">
        <v>69</v>
      </c>
      <c r="E107" s="17" t="n">
        <v>46266</v>
      </c>
      <c r="F107" s="10" t="n">
        <v>0</v>
      </c>
      <c r="G107" s="10" t="n">
        <v>0</v>
      </c>
      <c r="H107" s="10" t="n">
        <v>3557.9</v>
      </c>
      <c r="I107" s="10" t="n">
        <v>0</v>
      </c>
      <c r="J107" s="11" t="n">
        <f aca="false">SUM(F107:I107)</f>
        <v>3557.9</v>
      </c>
      <c r="K107" s="10" t="n">
        <v>13711</v>
      </c>
      <c r="L107" s="18" t="n">
        <f aca="false">IFERROR(J107/K107,"")</f>
        <v>0.259492378382321</v>
      </c>
      <c r="M107" s="19" t="n">
        <v>182.45</v>
      </c>
      <c r="N107" s="12" t="n">
        <f aca="false">J107*M107</f>
        <v>649138.855</v>
      </c>
    </row>
    <row r="108" customFormat="false" ht="15" hidden="false" customHeight="false" outlineLevel="0" collapsed="false">
      <c r="A108" s="9" t="s">
        <v>190</v>
      </c>
      <c r="B108" s="9" t="s">
        <v>191</v>
      </c>
      <c r="C108" s="9" t="s">
        <v>68</v>
      </c>
      <c r="D108" s="9" t="s">
        <v>69</v>
      </c>
      <c r="E108" s="17" t="n">
        <v>46235</v>
      </c>
      <c r="F108" s="10" t="n">
        <v>1074.3</v>
      </c>
      <c r="G108" s="10" t="n">
        <v>0</v>
      </c>
      <c r="H108" s="10" t="n">
        <v>52058.6</v>
      </c>
      <c r="I108" s="10" t="n">
        <v>0</v>
      </c>
      <c r="J108" s="11" t="n">
        <f aca="false">SUM(F108:I108)</f>
        <v>53132.9</v>
      </c>
      <c r="K108" s="10" t="n">
        <v>154573</v>
      </c>
      <c r="L108" s="18" t="n">
        <f aca="false">IFERROR(J108/K108,"")</f>
        <v>0.343739851073603</v>
      </c>
      <c r="M108" s="19" t="n">
        <v>129.26</v>
      </c>
      <c r="N108" s="12" t="n">
        <f aca="false">J108*M108</f>
        <v>6867958.654</v>
      </c>
    </row>
    <row r="109" customFormat="false" ht="15" hidden="false" customHeight="false" outlineLevel="0" collapsed="false">
      <c r="A109" s="9" t="s">
        <v>192</v>
      </c>
      <c r="B109" s="9" t="s">
        <v>193</v>
      </c>
      <c r="C109" s="9" t="s">
        <v>68</v>
      </c>
      <c r="D109" s="9" t="s">
        <v>69</v>
      </c>
      <c r="E109" s="17" t="n">
        <v>46266</v>
      </c>
      <c r="F109" s="10" t="n">
        <v>0</v>
      </c>
      <c r="G109" s="10" t="n">
        <v>0</v>
      </c>
      <c r="H109" s="10" t="n">
        <v>14355.4</v>
      </c>
      <c r="I109" s="10" t="n">
        <v>0</v>
      </c>
      <c r="J109" s="11" t="n">
        <f aca="false">SUM(F109:I109)</f>
        <v>14355.4</v>
      </c>
      <c r="K109" s="10" t="n">
        <v>41675</v>
      </c>
      <c r="L109" s="18" t="n">
        <f aca="false">IFERROR(J109/K109,"")</f>
        <v>0.344460707858428</v>
      </c>
      <c r="M109" s="19" t="n">
        <v>182.45</v>
      </c>
      <c r="N109" s="12" t="n">
        <f aca="false">J109*M109</f>
        <v>2619142.73</v>
      </c>
    </row>
    <row r="110" customFormat="false" ht="15" hidden="false" customHeight="false" outlineLevel="0" collapsed="false">
      <c r="A110" s="9" t="s">
        <v>194</v>
      </c>
      <c r="B110" s="9" t="s">
        <v>195</v>
      </c>
      <c r="C110" s="9" t="s">
        <v>68</v>
      </c>
      <c r="D110" s="9" t="s">
        <v>101</v>
      </c>
      <c r="E110" s="17" t="n">
        <v>46235</v>
      </c>
      <c r="F110" s="10" t="n">
        <v>0</v>
      </c>
      <c r="G110" s="10" t="n">
        <v>0</v>
      </c>
      <c r="H110" s="10" t="n">
        <v>6927.9</v>
      </c>
      <c r="I110" s="10" t="n">
        <v>0</v>
      </c>
      <c r="J110" s="11" t="n">
        <f aca="false">SUM(F110:I110)</f>
        <v>6927.9</v>
      </c>
      <c r="K110" s="10" t="n">
        <v>18081</v>
      </c>
      <c r="L110" s="18" t="n">
        <f aca="false">IFERROR(J110/K110,"")</f>
        <v>0.383159117305459</v>
      </c>
      <c r="M110" s="19" t="n">
        <v>129.26</v>
      </c>
      <c r="N110" s="12" t="n">
        <f aca="false">J110*M110</f>
        <v>895500.354</v>
      </c>
    </row>
    <row r="111" customFormat="false" ht="15" hidden="false" customHeight="false" outlineLevel="0" collapsed="false">
      <c r="A111" s="9" t="s">
        <v>194</v>
      </c>
      <c r="B111" s="9" t="s">
        <v>195</v>
      </c>
      <c r="C111" s="9" t="s">
        <v>68</v>
      </c>
      <c r="D111" s="9" t="s">
        <v>101</v>
      </c>
      <c r="E111" s="17" t="n">
        <v>46266</v>
      </c>
      <c r="F111" s="10" t="n">
        <v>0</v>
      </c>
      <c r="G111" s="10" t="n">
        <v>0</v>
      </c>
      <c r="H111" s="10" t="n">
        <v>1309.5</v>
      </c>
      <c r="I111" s="10" t="n">
        <v>0</v>
      </c>
      <c r="J111" s="11" t="n">
        <f aca="false">SUM(F111:I111)</f>
        <v>1309.5</v>
      </c>
      <c r="K111" s="10" t="n">
        <v>3461</v>
      </c>
      <c r="L111" s="18" t="n">
        <f aca="false">IFERROR(J111/K111,"")</f>
        <v>0.378358855822017</v>
      </c>
      <c r="M111" s="19" t="n">
        <v>182.45</v>
      </c>
      <c r="N111" s="12" t="n">
        <f aca="false">J111*M111</f>
        <v>238918.275</v>
      </c>
    </row>
    <row r="112" customFormat="false" ht="15" hidden="false" customHeight="false" outlineLevel="0" collapsed="false">
      <c r="A112" s="9" t="s">
        <v>196</v>
      </c>
      <c r="B112" s="9" t="s">
        <v>197</v>
      </c>
      <c r="C112" s="9" t="s">
        <v>68</v>
      </c>
      <c r="D112" s="9" t="s">
        <v>101</v>
      </c>
      <c r="E112" s="17" t="n">
        <v>46235</v>
      </c>
      <c r="F112" s="10" t="n">
        <v>0</v>
      </c>
      <c r="G112" s="10" t="n">
        <v>0</v>
      </c>
      <c r="H112" s="10" t="n">
        <v>34123.5</v>
      </c>
      <c r="I112" s="10" t="n">
        <v>0</v>
      </c>
      <c r="J112" s="11" t="n">
        <f aca="false">SUM(F112:I112)</f>
        <v>34123.5</v>
      </c>
      <c r="K112" s="10" t="n">
        <v>83195</v>
      </c>
      <c r="L112" s="18" t="n">
        <f aca="false">IFERROR(J112/K112,"")</f>
        <v>0.410162870364806</v>
      </c>
      <c r="M112" s="19" t="n">
        <v>129.26</v>
      </c>
      <c r="N112" s="12" t="n">
        <f aca="false">J112*M112</f>
        <v>4410803.61</v>
      </c>
    </row>
    <row r="113" customFormat="false" ht="15" hidden="false" customHeight="false" outlineLevel="0" collapsed="false">
      <c r="A113" s="9" t="s">
        <v>196</v>
      </c>
      <c r="B113" s="9" t="s">
        <v>197</v>
      </c>
      <c r="C113" s="9" t="s">
        <v>68</v>
      </c>
      <c r="D113" s="9" t="s">
        <v>101</v>
      </c>
      <c r="E113" s="17" t="n">
        <v>46266</v>
      </c>
      <c r="F113" s="10" t="n">
        <v>0</v>
      </c>
      <c r="G113" s="10" t="n">
        <v>0</v>
      </c>
      <c r="H113" s="10" t="n">
        <v>5317.4</v>
      </c>
      <c r="I113" s="10" t="n">
        <v>0</v>
      </c>
      <c r="J113" s="11" t="n">
        <f aca="false">SUM(F113:I113)</f>
        <v>5317.4</v>
      </c>
      <c r="K113" s="10" t="n">
        <v>14139</v>
      </c>
      <c r="L113" s="18" t="n">
        <f aca="false">IFERROR(J113/K113,"")</f>
        <v>0.376080345144635</v>
      </c>
      <c r="M113" s="19" t="n">
        <v>182.45</v>
      </c>
      <c r="N113" s="12" t="n">
        <f aca="false">J113*M113</f>
        <v>970159.63</v>
      </c>
    </row>
    <row r="114" customFormat="false" ht="15" hidden="false" customHeight="false" outlineLevel="0" collapsed="false">
      <c r="A114" s="9" t="s">
        <v>198</v>
      </c>
      <c r="B114" s="9" t="s">
        <v>199</v>
      </c>
      <c r="C114" s="9" t="s">
        <v>68</v>
      </c>
      <c r="D114" s="9" t="s">
        <v>69</v>
      </c>
      <c r="E114" s="17" t="n">
        <v>46235</v>
      </c>
      <c r="F114" s="10" t="n">
        <v>3879.2</v>
      </c>
      <c r="G114" s="10" t="n">
        <v>0</v>
      </c>
      <c r="H114" s="10" t="n">
        <v>17847.5</v>
      </c>
      <c r="I114" s="10" t="n">
        <v>0</v>
      </c>
      <c r="J114" s="11" t="n">
        <f aca="false">SUM(F114:I114)</f>
        <v>21726.7</v>
      </c>
      <c r="K114" s="10" t="n">
        <v>67501</v>
      </c>
      <c r="L114" s="18" t="n">
        <f aca="false">IFERROR(J114/K114,"")</f>
        <v>0.321872268558984</v>
      </c>
      <c r="M114" s="19" t="n">
        <v>129.26</v>
      </c>
      <c r="N114" s="12" t="n">
        <f aca="false">J114*M114</f>
        <v>2808393.242</v>
      </c>
    </row>
    <row r="115" customFormat="false" ht="15" hidden="false" customHeight="false" outlineLevel="0" collapsed="false">
      <c r="A115" s="9" t="s">
        <v>198</v>
      </c>
      <c r="B115" s="9" t="s">
        <v>199</v>
      </c>
      <c r="C115" s="9" t="s">
        <v>68</v>
      </c>
      <c r="D115" s="9" t="s">
        <v>69</v>
      </c>
      <c r="E115" s="17" t="n">
        <v>46266</v>
      </c>
      <c r="F115" s="10" t="n">
        <v>0</v>
      </c>
      <c r="G115" s="10" t="n">
        <v>0</v>
      </c>
      <c r="H115" s="10" t="n">
        <v>3225.6</v>
      </c>
      <c r="I115" s="10" t="n">
        <v>0</v>
      </c>
      <c r="J115" s="11" t="n">
        <f aca="false">SUM(F115:I115)</f>
        <v>3225.6</v>
      </c>
      <c r="K115" s="10" t="n">
        <v>13158</v>
      </c>
      <c r="L115" s="18" t="n">
        <f aca="false">IFERROR(J115/K115,"")</f>
        <v>0.245143638850889</v>
      </c>
      <c r="M115" s="19" t="n">
        <v>182.45</v>
      </c>
      <c r="N115" s="12" t="n">
        <f aca="false">J115*M115</f>
        <v>588510.72</v>
      </c>
    </row>
    <row r="116" customFormat="false" ht="15" hidden="false" customHeight="false" outlineLevel="0" collapsed="false">
      <c r="A116" s="9" t="s">
        <v>200</v>
      </c>
      <c r="B116" s="9" t="s">
        <v>201</v>
      </c>
      <c r="C116" s="9" t="s">
        <v>56</v>
      </c>
      <c r="D116" s="9" t="s">
        <v>137</v>
      </c>
      <c r="E116" s="17" t="n">
        <v>46235</v>
      </c>
      <c r="F116" s="10" t="n">
        <v>0</v>
      </c>
      <c r="G116" s="10" t="n">
        <v>3729.9</v>
      </c>
      <c r="H116" s="10" t="n">
        <v>16688.1</v>
      </c>
      <c r="I116" s="10" t="n">
        <v>0</v>
      </c>
      <c r="J116" s="11" t="n">
        <f aca="false">SUM(F116:I116)</f>
        <v>20418</v>
      </c>
      <c r="K116" s="10" t="n">
        <v>56308</v>
      </c>
      <c r="L116" s="18" t="n">
        <f aca="false">IFERROR(J116/K116,"")</f>
        <v>0.3626127726078</v>
      </c>
      <c r="M116" s="19" t="n">
        <v>127.96</v>
      </c>
      <c r="N116" s="12" t="n">
        <f aca="false">J116*M116</f>
        <v>2612687.28</v>
      </c>
    </row>
    <row r="117" customFormat="false" ht="15" hidden="false" customHeight="false" outlineLevel="0" collapsed="false">
      <c r="A117" s="9" t="s">
        <v>200</v>
      </c>
      <c r="B117" s="9" t="s">
        <v>201</v>
      </c>
      <c r="C117" s="9" t="s">
        <v>56</v>
      </c>
      <c r="D117" s="9" t="s">
        <v>137</v>
      </c>
      <c r="E117" s="17" t="n">
        <v>46266</v>
      </c>
      <c r="F117" s="10" t="n">
        <v>0</v>
      </c>
      <c r="G117" s="10" t="n">
        <v>0</v>
      </c>
      <c r="H117" s="10" t="n">
        <v>2944.8</v>
      </c>
      <c r="I117" s="10" t="n">
        <v>0</v>
      </c>
      <c r="J117" s="11" t="n">
        <f aca="false">SUM(F117:I117)</f>
        <v>2944.8</v>
      </c>
      <c r="K117" s="10" t="n">
        <v>9896</v>
      </c>
      <c r="L117" s="18" t="n">
        <f aca="false">IFERROR(J117/K117,"")</f>
        <v>0.297574777687955</v>
      </c>
      <c r="M117" s="19" t="n">
        <v>180.81</v>
      </c>
      <c r="N117" s="12" t="n">
        <f aca="false">J117*M117</f>
        <v>532449.288</v>
      </c>
    </row>
    <row r="118" customFormat="false" ht="15" hidden="false" customHeight="false" outlineLevel="0" collapsed="false">
      <c r="A118" s="9" t="s">
        <v>202</v>
      </c>
      <c r="B118" s="9" t="s">
        <v>203</v>
      </c>
      <c r="C118" s="9" t="s">
        <v>56</v>
      </c>
      <c r="D118" s="9" t="s">
        <v>137</v>
      </c>
      <c r="E118" s="17" t="n">
        <v>46235</v>
      </c>
      <c r="F118" s="10" t="n">
        <v>2111.4</v>
      </c>
      <c r="G118" s="10" t="n">
        <v>4807.9</v>
      </c>
      <c r="H118" s="10" t="n">
        <v>28839.3</v>
      </c>
      <c r="I118" s="10" t="n">
        <v>0</v>
      </c>
      <c r="J118" s="11" t="n">
        <f aca="false">SUM(F118:I118)</f>
        <v>35758.6</v>
      </c>
      <c r="K118" s="10" t="n">
        <v>73724</v>
      </c>
      <c r="L118" s="18" t="n">
        <f aca="false">IFERROR(J118/K118,"")</f>
        <v>0.48503336769573</v>
      </c>
      <c r="M118" s="19" t="n">
        <v>127.96</v>
      </c>
      <c r="N118" s="12" t="n">
        <f aca="false">J118*M118</f>
        <v>4575670.456</v>
      </c>
    </row>
    <row r="119" customFormat="false" ht="15" hidden="false" customHeight="false" outlineLevel="0" collapsed="false">
      <c r="A119" s="9" t="s">
        <v>202</v>
      </c>
      <c r="B119" s="9" t="s">
        <v>203</v>
      </c>
      <c r="C119" s="9" t="s">
        <v>56</v>
      </c>
      <c r="D119" s="9" t="s">
        <v>137</v>
      </c>
      <c r="E119" s="17" t="n">
        <v>46266</v>
      </c>
      <c r="F119" s="10" t="n">
        <v>0</v>
      </c>
      <c r="G119" s="10" t="n">
        <v>0</v>
      </c>
      <c r="H119" s="10" t="n">
        <v>4400.6</v>
      </c>
      <c r="I119" s="10" t="n">
        <v>0</v>
      </c>
      <c r="J119" s="11" t="n">
        <f aca="false">SUM(F119:I119)</f>
        <v>4400.6</v>
      </c>
      <c r="K119" s="10" t="n">
        <v>13342</v>
      </c>
      <c r="L119" s="18" t="n">
        <f aca="false">IFERROR(J119/K119,"")</f>
        <v>0.329830610103433</v>
      </c>
      <c r="M119" s="19" t="n">
        <v>180.81</v>
      </c>
      <c r="N119" s="12" t="n">
        <f aca="false">J119*M119</f>
        <v>795672.486</v>
      </c>
    </row>
    <row r="120" customFormat="false" ht="15" hidden="false" customHeight="false" outlineLevel="0" collapsed="false">
      <c r="A120" s="9" t="s">
        <v>204</v>
      </c>
      <c r="B120" s="9" t="s">
        <v>205</v>
      </c>
      <c r="C120" s="9" t="s">
        <v>56</v>
      </c>
      <c r="D120" s="9" t="s">
        <v>177</v>
      </c>
      <c r="E120" s="17" t="n">
        <v>46235</v>
      </c>
      <c r="F120" s="10" t="n">
        <v>0</v>
      </c>
      <c r="G120" s="10" t="n">
        <v>172.4</v>
      </c>
      <c r="H120" s="10" t="n">
        <v>9144.2</v>
      </c>
      <c r="I120" s="10" t="n">
        <v>0</v>
      </c>
      <c r="J120" s="11" t="n">
        <f aca="false">SUM(F120:I120)</f>
        <v>9316.6</v>
      </c>
      <c r="K120" s="10" t="n">
        <v>41228</v>
      </c>
      <c r="L120" s="18" t="n">
        <f aca="false">IFERROR(J120/K120,"")</f>
        <v>0.225977491025517</v>
      </c>
      <c r="M120" s="19" t="n">
        <v>127.96</v>
      </c>
      <c r="N120" s="12" t="n">
        <f aca="false">J120*M120</f>
        <v>1192152.136</v>
      </c>
    </row>
    <row r="121" customFormat="false" ht="15" hidden="false" customHeight="false" outlineLevel="0" collapsed="false">
      <c r="A121" s="9" t="s">
        <v>204</v>
      </c>
      <c r="B121" s="9" t="s">
        <v>205</v>
      </c>
      <c r="C121" s="9" t="s">
        <v>56</v>
      </c>
      <c r="D121" s="9" t="s">
        <v>177</v>
      </c>
      <c r="E121" s="17" t="n">
        <v>46266</v>
      </c>
      <c r="F121" s="10" t="n">
        <v>0</v>
      </c>
      <c r="G121" s="10" t="n">
        <v>0</v>
      </c>
      <c r="H121" s="10" t="n">
        <v>2934.4</v>
      </c>
      <c r="I121" s="10" t="n">
        <v>0</v>
      </c>
      <c r="J121" s="11" t="n">
        <f aca="false">SUM(F121:I121)</f>
        <v>2934.4</v>
      </c>
      <c r="K121" s="10" t="n">
        <v>9473</v>
      </c>
      <c r="L121" s="18" t="n">
        <f aca="false">IFERROR(J121/K121,"")</f>
        <v>0.309764594109575</v>
      </c>
      <c r="M121" s="19" t="n">
        <v>180.81</v>
      </c>
      <c r="N121" s="12" t="n">
        <f aca="false">J121*M121</f>
        <v>530568.864</v>
      </c>
    </row>
    <row r="122" customFormat="false" ht="15" hidden="false" customHeight="false" outlineLevel="0" collapsed="false">
      <c r="A122" s="9" t="s">
        <v>207</v>
      </c>
      <c r="B122" s="9" t="s">
        <v>208</v>
      </c>
      <c r="C122" s="9" t="s">
        <v>68</v>
      </c>
      <c r="D122" s="9" t="s">
        <v>150</v>
      </c>
      <c r="E122" s="17" t="n">
        <v>46235</v>
      </c>
      <c r="F122" s="10" t="n">
        <v>0</v>
      </c>
      <c r="G122" s="10" t="n">
        <v>0</v>
      </c>
      <c r="H122" s="10" t="n">
        <v>4.9</v>
      </c>
      <c r="I122" s="10" t="n">
        <v>0</v>
      </c>
      <c r="J122" s="11" t="n">
        <f aca="false">SUM(F122:I122)</f>
        <v>4.9</v>
      </c>
      <c r="K122" s="10" t="n">
        <v>2112</v>
      </c>
      <c r="L122" s="18" t="n">
        <f aca="false">IFERROR(J122/K122,"")</f>
        <v>0.00232007575757576</v>
      </c>
      <c r="M122" s="19" t="n">
        <v>129.26</v>
      </c>
      <c r="N122" s="12" t="n">
        <f aca="false">J122*M122</f>
        <v>633.374</v>
      </c>
    </row>
    <row r="123" customFormat="false" ht="15" hidden="false" customHeight="false" outlineLevel="0" collapsed="false">
      <c r="A123" s="9" t="s">
        <v>207</v>
      </c>
      <c r="B123" s="9" t="s">
        <v>208</v>
      </c>
      <c r="C123" s="9" t="s">
        <v>68</v>
      </c>
      <c r="D123" s="9" t="s">
        <v>150</v>
      </c>
      <c r="E123" s="17" t="n">
        <v>46266</v>
      </c>
      <c r="F123" s="10" t="n">
        <v>0</v>
      </c>
      <c r="G123" s="10" t="n">
        <v>0</v>
      </c>
      <c r="H123" s="10" t="n">
        <v>1340.1</v>
      </c>
      <c r="I123" s="10" t="n">
        <v>0</v>
      </c>
      <c r="J123" s="11" t="n">
        <f aca="false">SUM(F123:I123)</f>
        <v>1340.1</v>
      </c>
      <c r="K123" s="10" t="n">
        <v>8362</v>
      </c>
      <c r="L123" s="18" t="n">
        <f aca="false">IFERROR(J123/K123,"")</f>
        <v>0.160260703181057</v>
      </c>
      <c r="M123" s="19" t="n">
        <v>182.45</v>
      </c>
      <c r="N123" s="12" t="n">
        <f aca="false">J123*M123</f>
        <v>244501.245</v>
      </c>
    </row>
    <row r="124" customFormat="false" ht="15" hidden="false" customHeight="false" outlineLevel="0" collapsed="false">
      <c r="A124" s="9" t="s">
        <v>209</v>
      </c>
      <c r="B124" s="9" t="s">
        <v>210</v>
      </c>
      <c r="C124" s="9" t="s">
        <v>56</v>
      </c>
      <c r="D124" s="9" t="s">
        <v>61</v>
      </c>
      <c r="E124" s="17" t="n">
        <v>46235</v>
      </c>
      <c r="F124" s="10" t="n">
        <v>1443.2</v>
      </c>
      <c r="G124" s="10" t="n">
        <v>78.7</v>
      </c>
      <c r="H124" s="10" t="n">
        <v>8825</v>
      </c>
      <c r="I124" s="10" t="n">
        <v>0</v>
      </c>
      <c r="J124" s="11" t="n">
        <f aca="false">SUM(F124:I124)</f>
        <v>10346.9</v>
      </c>
      <c r="K124" s="10" t="n">
        <v>34590</v>
      </c>
      <c r="L124" s="18" t="n">
        <f aca="false">IFERROR(J124/K124,"")</f>
        <v>0.2991298063024</v>
      </c>
      <c r="M124" s="19" t="n">
        <v>127.96</v>
      </c>
      <c r="N124" s="12" t="n">
        <f aca="false">J124*M124</f>
        <v>1323989.324</v>
      </c>
    </row>
    <row r="125" customFormat="false" ht="15" hidden="false" customHeight="false" outlineLevel="0" collapsed="false">
      <c r="A125" s="9" t="s">
        <v>209</v>
      </c>
      <c r="B125" s="9" t="s">
        <v>210</v>
      </c>
      <c r="C125" s="9" t="s">
        <v>56</v>
      </c>
      <c r="D125" s="9" t="s">
        <v>61</v>
      </c>
      <c r="E125" s="17" t="n">
        <v>46266</v>
      </c>
      <c r="F125" s="10" t="n">
        <v>0</v>
      </c>
      <c r="G125" s="10" t="n">
        <v>0</v>
      </c>
      <c r="H125" s="10" t="n">
        <v>2000.3</v>
      </c>
      <c r="I125" s="10" t="n">
        <v>0</v>
      </c>
      <c r="J125" s="11" t="n">
        <f aca="false">SUM(F125:I125)</f>
        <v>2000.3</v>
      </c>
      <c r="K125" s="10" t="n">
        <v>7978</v>
      </c>
      <c r="L125" s="18" t="n">
        <f aca="false">IFERROR(J125/K125,"")</f>
        <v>0.250726999247932</v>
      </c>
      <c r="M125" s="19" t="n">
        <v>180.81</v>
      </c>
      <c r="N125" s="12" t="n">
        <f aca="false">J125*M125</f>
        <v>361674.243</v>
      </c>
    </row>
    <row r="126" customFormat="false" ht="15" hidden="false" customHeight="false" outlineLevel="0" collapsed="false">
      <c r="A126" s="9" t="s">
        <v>211</v>
      </c>
      <c r="B126" s="9" t="s">
        <v>212</v>
      </c>
      <c r="C126" s="9" t="s">
        <v>56</v>
      </c>
      <c r="D126" s="9" t="s">
        <v>137</v>
      </c>
      <c r="E126" s="17" t="n">
        <v>46235</v>
      </c>
      <c r="F126" s="10" t="n">
        <v>878.2</v>
      </c>
      <c r="G126" s="10" t="n">
        <v>181.9</v>
      </c>
      <c r="H126" s="10" t="n">
        <v>8439</v>
      </c>
      <c r="I126" s="10" t="n">
        <v>0</v>
      </c>
      <c r="J126" s="11" t="n">
        <f aca="false">SUM(F126:I126)</f>
        <v>9499.1</v>
      </c>
      <c r="K126" s="10" t="n">
        <v>41302</v>
      </c>
      <c r="L126" s="18" t="n">
        <f aca="false">IFERROR(J126/K126,"")</f>
        <v>0.229991283715074</v>
      </c>
      <c r="M126" s="19" t="n">
        <v>127.96</v>
      </c>
      <c r="N126" s="12" t="n">
        <f aca="false">J126*M126</f>
        <v>1215504.836</v>
      </c>
    </row>
    <row r="127" customFormat="false" ht="15" hidden="false" customHeight="false" outlineLevel="0" collapsed="false">
      <c r="A127" s="9" t="s">
        <v>211</v>
      </c>
      <c r="B127" s="9" t="s">
        <v>212</v>
      </c>
      <c r="C127" s="9" t="s">
        <v>56</v>
      </c>
      <c r="D127" s="9" t="s">
        <v>137</v>
      </c>
      <c r="E127" s="17" t="n">
        <v>46266</v>
      </c>
      <c r="F127" s="10" t="n">
        <v>0</v>
      </c>
      <c r="G127" s="10" t="n">
        <v>43.7</v>
      </c>
      <c r="H127" s="10" t="n">
        <v>2748.8</v>
      </c>
      <c r="I127" s="10" t="n">
        <v>0</v>
      </c>
      <c r="J127" s="11" t="n">
        <f aca="false">SUM(F127:I127)</f>
        <v>2792.5</v>
      </c>
      <c r="K127" s="10" t="n">
        <v>8885</v>
      </c>
      <c r="L127" s="18" t="n">
        <f aca="false">IFERROR(J127/K127,"")</f>
        <v>0.314293753517164</v>
      </c>
      <c r="M127" s="19" t="n">
        <v>180.81</v>
      </c>
      <c r="N127" s="12" t="n">
        <f aca="false">J127*M127</f>
        <v>504911.925</v>
      </c>
    </row>
    <row r="128" customFormat="false" ht="15" hidden="false" customHeight="false" outlineLevel="0" collapsed="false">
      <c r="A128" s="9" t="s">
        <v>214</v>
      </c>
      <c r="B128" s="9" t="s">
        <v>215</v>
      </c>
      <c r="C128" s="9" t="s">
        <v>56</v>
      </c>
      <c r="D128" s="9" t="s">
        <v>177</v>
      </c>
      <c r="E128" s="17" t="n">
        <v>46235</v>
      </c>
      <c r="F128" s="10" t="n">
        <v>12.4</v>
      </c>
      <c r="G128" s="10" t="n">
        <v>0</v>
      </c>
      <c r="H128" s="10" t="n">
        <v>11649.5</v>
      </c>
      <c r="I128" s="10" t="n">
        <v>0</v>
      </c>
      <c r="J128" s="11" t="n">
        <f aca="false">SUM(F128:I128)</f>
        <v>11661.9</v>
      </c>
      <c r="K128" s="10" t="n">
        <v>50815</v>
      </c>
      <c r="L128" s="18" t="n">
        <f aca="false">IFERROR(J128/K128,"")</f>
        <v>0.229497195709928</v>
      </c>
      <c r="M128" s="19" t="n">
        <v>127.96</v>
      </c>
      <c r="N128" s="12" t="n">
        <f aca="false">J128*M128</f>
        <v>1492256.724</v>
      </c>
    </row>
    <row r="129" customFormat="false" ht="15" hidden="false" customHeight="false" outlineLevel="0" collapsed="false">
      <c r="A129" s="9" t="s">
        <v>214</v>
      </c>
      <c r="B129" s="9" t="s">
        <v>215</v>
      </c>
      <c r="C129" s="9" t="s">
        <v>56</v>
      </c>
      <c r="D129" s="9" t="s">
        <v>177</v>
      </c>
      <c r="E129" s="17" t="n">
        <v>46266</v>
      </c>
      <c r="F129" s="10" t="n">
        <v>0</v>
      </c>
      <c r="G129" s="10" t="n">
        <v>0</v>
      </c>
      <c r="H129" s="10" t="n">
        <v>1896</v>
      </c>
      <c r="I129" s="10" t="n">
        <v>0</v>
      </c>
      <c r="J129" s="11" t="n">
        <f aca="false">SUM(F129:I129)</f>
        <v>1896</v>
      </c>
      <c r="K129" s="10" t="n">
        <v>9457</v>
      </c>
      <c r="L129" s="18" t="n">
        <f aca="false">IFERROR(J129/K129,"")</f>
        <v>0.200486412181453</v>
      </c>
      <c r="M129" s="19" t="n">
        <v>180.81</v>
      </c>
      <c r="N129" s="12" t="n">
        <f aca="false">J129*M129</f>
        <v>342815.76</v>
      </c>
    </row>
    <row r="130" customFormat="false" ht="15" hidden="false" customHeight="false" outlineLevel="0" collapsed="false">
      <c r="A130" s="9" t="s">
        <v>216</v>
      </c>
      <c r="B130" s="9" t="s">
        <v>217</v>
      </c>
      <c r="C130" s="9" t="s">
        <v>56</v>
      </c>
      <c r="D130" s="9" t="s">
        <v>80</v>
      </c>
      <c r="E130" s="17" t="n">
        <v>46235</v>
      </c>
      <c r="F130" s="10" t="n">
        <v>254.2</v>
      </c>
      <c r="G130" s="10" t="n">
        <v>149</v>
      </c>
      <c r="H130" s="10" t="n">
        <v>9323.6</v>
      </c>
      <c r="I130" s="10" t="n">
        <v>0</v>
      </c>
      <c r="J130" s="11" t="n">
        <f aca="false">SUM(F130:I130)</f>
        <v>9726.8</v>
      </c>
      <c r="K130" s="10" t="n">
        <v>28243</v>
      </c>
      <c r="L130" s="18" t="n">
        <f aca="false">IFERROR(J130/K130,"")</f>
        <v>0.344396841695287</v>
      </c>
      <c r="M130" s="19" t="n">
        <v>127.96</v>
      </c>
      <c r="N130" s="12" t="n">
        <f aca="false">J130*M130</f>
        <v>1244641.328</v>
      </c>
    </row>
    <row r="131" customFormat="false" ht="15" hidden="false" customHeight="false" outlineLevel="0" collapsed="false">
      <c r="A131" s="9" t="s">
        <v>216</v>
      </c>
      <c r="B131" s="9" t="s">
        <v>217</v>
      </c>
      <c r="C131" s="9" t="s">
        <v>56</v>
      </c>
      <c r="D131" s="9" t="s">
        <v>80</v>
      </c>
      <c r="E131" s="17" t="n">
        <v>46266</v>
      </c>
      <c r="F131" s="10" t="n">
        <v>0</v>
      </c>
      <c r="G131" s="10" t="n">
        <v>0</v>
      </c>
      <c r="H131" s="10" t="n">
        <v>2325.6</v>
      </c>
      <c r="I131" s="10" t="n">
        <v>0</v>
      </c>
      <c r="J131" s="11" t="n">
        <f aca="false">SUM(F131:I131)</f>
        <v>2325.6</v>
      </c>
      <c r="K131" s="10" t="n">
        <v>6257</v>
      </c>
      <c r="L131" s="18" t="n">
        <f aca="false">IFERROR(J131/K131,"")</f>
        <v>0.371679718715039</v>
      </c>
      <c r="M131" s="19" t="n">
        <v>180.81</v>
      </c>
      <c r="N131" s="12" t="n">
        <f aca="false">J131*M131</f>
        <v>420491.736</v>
      </c>
    </row>
    <row r="132" customFormat="false" ht="15" hidden="false" customHeight="false" outlineLevel="0" collapsed="false">
      <c r="A132" s="9" t="s">
        <v>218</v>
      </c>
      <c r="B132" s="9" t="s">
        <v>219</v>
      </c>
      <c r="C132" s="9" t="s">
        <v>56</v>
      </c>
      <c r="D132" s="9" t="s">
        <v>61</v>
      </c>
      <c r="E132" s="17" t="n">
        <v>46235</v>
      </c>
      <c r="F132" s="10" t="n">
        <v>0</v>
      </c>
      <c r="G132" s="10" t="n">
        <v>0</v>
      </c>
      <c r="H132" s="10" t="n">
        <v>4958</v>
      </c>
      <c r="I132" s="10" t="n">
        <v>0</v>
      </c>
      <c r="J132" s="11" t="n">
        <f aca="false">SUM(F132:I132)</f>
        <v>4958</v>
      </c>
      <c r="K132" s="10" t="n">
        <v>21694</v>
      </c>
      <c r="L132" s="18" t="n">
        <f aca="false">IFERROR(J132/K132,"")</f>
        <v>0.228542454134784</v>
      </c>
      <c r="M132" s="19" t="n">
        <v>127.96</v>
      </c>
      <c r="N132" s="12" t="n">
        <f aca="false">J132*M132</f>
        <v>634425.68</v>
      </c>
    </row>
    <row r="133" customFormat="false" ht="15" hidden="false" customHeight="false" outlineLevel="0" collapsed="false">
      <c r="A133" s="9" t="s">
        <v>218</v>
      </c>
      <c r="B133" s="9" t="s">
        <v>219</v>
      </c>
      <c r="C133" s="9" t="s">
        <v>56</v>
      </c>
      <c r="D133" s="9" t="s">
        <v>61</v>
      </c>
      <c r="E133" s="17" t="n">
        <v>46266</v>
      </c>
      <c r="F133" s="10" t="n">
        <v>0</v>
      </c>
      <c r="G133" s="10" t="n">
        <v>0</v>
      </c>
      <c r="H133" s="10" t="n">
        <v>1372</v>
      </c>
      <c r="I133" s="10" t="n">
        <v>0</v>
      </c>
      <c r="J133" s="11" t="n">
        <f aca="false">SUM(F133:I133)</f>
        <v>1372</v>
      </c>
      <c r="K133" s="10" t="n">
        <v>5326</v>
      </c>
      <c r="L133" s="18" t="n">
        <f aca="false">IFERROR(J133/K133,"")</f>
        <v>0.257604205782952</v>
      </c>
      <c r="M133" s="19" t="n">
        <v>180.81</v>
      </c>
      <c r="N133" s="12" t="n">
        <f aca="false">J133*M133</f>
        <v>248071.32</v>
      </c>
    </row>
    <row r="134" customFormat="false" ht="15" hidden="false" customHeight="false" outlineLevel="0" collapsed="false">
      <c r="A134" s="9" t="s">
        <v>220</v>
      </c>
      <c r="B134" s="9" t="s">
        <v>221</v>
      </c>
      <c r="C134" s="9" t="s">
        <v>56</v>
      </c>
      <c r="D134" s="9" t="s">
        <v>57</v>
      </c>
      <c r="E134" s="17" t="n">
        <v>46235</v>
      </c>
      <c r="F134" s="10" t="n">
        <v>1334.1</v>
      </c>
      <c r="G134" s="10" t="n">
        <v>137.9</v>
      </c>
      <c r="H134" s="10" t="n">
        <v>19566.1</v>
      </c>
      <c r="I134" s="10" t="n">
        <v>0</v>
      </c>
      <c r="J134" s="11" t="n">
        <f aca="false">SUM(F134:I134)</f>
        <v>21038.1</v>
      </c>
      <c r="K134" s="10" t="n">
        <v>109258</v>
      </c>
      <c r="L134" s="18" t="n">
        <f aca="false">IFERROR(J134/K134,"")</f>
        <v>0.192554320965055</v>
      </c>
      <c r="M134" s="19" t="n">
        <v>127.96</v>
      </c>
      <c r="N134" s="12" t="n">
        <f aca="false">J134*M134</f>
        <v>2692035.276</v>
      </c>
    </row>
    <row r="135" customFormat="false" ht="15" hidden="false" customHeight="false" outlineLevel="0" collapsed="false">
      <c r="A135" s="9" t="s">
        <v>220</v>
      </c>
      <c r="B135" s="9" t="s">
        <v>221</v>
      </c>
      <c r="C135" s="9" t="s">
        <v>56</v>
      </c>
      <c r="D135" s="9" t="s">
        <v>57</v>
      </c>
      <c r="E135" s="17" t="n">
        <v>46266</v>
      </c>
      <c r="F135" s="10" t="n">
        <v>0</v>
      </c>
      <c r="G135" s="10" t="n">
        <v>0</v>
      </c>
      <c r="H135" s="10" t="n">
        <v>4631.6</v>
      </c>
      <c r="I135" s="10" t="n">
        <v>0</v>
      </c>
      <c r="J135" s="11" t="n">
        <f aca="false">SUM(F135:I135)</f>
        <v>4631.6</v>
      </c>
      <c r="K135" s="10" t="n">
        <v>24183</v>
      </c>
      <c r="L135" s="18" t="n">
        <f aca="false">IFERROR(J135/K135,"")</f>
        <v>0.191522970681884</v>
      </c>
      <c r="M135" s="19" t="n">
        <v>180.81</v>
      </c>
      <c r="N135" s="12" t="n">
        <f aca="false">J135*M135</f>
        <v>837439.596</v>
      </c>
    </row>
    <row r="136" customFormat="false" ht="15" hidden="false" customHeight="false" outlineLevel="0" collapsed="false">
      <c r="A136" s="9" t="s">
        <v>222</v>
      </c>
      <c r="B136" s="9" t="s">
        <v>223</v>
      </c>
      <c r="C136" s="9" t="s">
        <v>56</v>
      </c>
      <c r="D136" s="9" t="s">
        <v>97</v>
      </c>
      <c r="E136" s="17" t="n">
        <v>46235</v>
      </c>
      <c r="F136" s="10" t="n">
        <v>135</v>
      </c>
      <c r="G136" s="10" t="n">
        <v>0</v>
      </c>
      <c r="H136" s="10" t="n">
        <v>3504.5</v>
      </c>
      <c r="I136" s="10" t="n">
        <v>0</v>
      </c>
      <c r="J136" s="11" t="n">
        <f aca="false">SUM(F136:I136)</f>
        <v>3639.5</v>
      </c>
      <c r="K136" s="10" t="n">
        <v>13516</v>
      </c>
      <c r="L136" s="18" t="n">
        <f aca="false">IFERROR(J136/K136,"")</f>
        <v>0.269273453684522</v>
      </c>
      <c r="M136" s="19" t="n">
        <v>127.96</v>
      </c>
      <c r="N136" s="12" t="n">
        <f aca="false">J136*M136</f>
        <v>465710.42</v>
      </c>
    </row>
    <row r="137" customFormat="false" ht="15" hidden="false" customHeight="false" outlineLevel="0" collapsed="false">
      <c r="A137" s="9" t="s">
        <v>222</v>
      </c>
      <c r="B137" s="9" t="s">
        <v>223</v>
      </c>
      <c r="C137" s="9" t="s">
        <v>56</v>
      </c>
      <c r="D137" s="9" t="s">
        <v>97</v>
      </c>
      <c r="E137" s="17" t="n">
        <v>46266</v>
      </c>
      <c r="F137" s="10" t="n">
        <v>0</v>
      </c>
      <c r="G137" s="10" t="n">
        <v>0</v>
      </c>
      <c r="H137" s="10" t="n">
        <v>958.6</v>
      </c>
      <c r="I137" s="10" t="n">
        <v>0</v>
      </c>
      <c r="J137" s="11" t="n">
        <f aca="false">SUM(F137:I137)</f>
        <v>958.6</v>
      </c>
      <c r="K137" s="10" t="n">
        <v>3258</v>
      </c>
      <c r="L137" s="18" t="n">
        <f aca="false">IFERROR(J137/K137,"")</f>
        <v>0.294229588704727</v>
      </c>
      <c r="M137" s="19" t="n">
        <v>180.81</v>
      </c>
      <c r="N137" s="12" t="n">
        <f aca="false">J137*M137</f>
        <v>173324.466</v>
      </c>
    </row>
    <row r="138" customFormat="false" ht="15" hidden="false" customHeight="false" outlineLevel="0" collapsed="false">
      <c r="A138" s="9" t="s">
        <v>224</v>
      </c>
      <c r="B138" s="9" t="s">
        <v>225</v>
      </c>
      <c r="C138" s="9" t="s">
        <v>56</v>
      </c>
      <c r="D138" s="9" t="s">
        <v>80</v>
      </c>
      <c r="E138" s="17" t="n">
        <v>46235</v>
      </c>
      <c r="F138" s="10" t="n">
        <v>2177.2</v>
      </c>
      <c r="G138" s="10" t="n">
        <v>0</v>
      </c>
      <c r="H138" s="10" t="n">
        <v>7610.3</v>
      </c>
      <c r="I138" s="10" t="n">
        <v>0</v>
      </c>
      <c r="J138" s="11" t="n">
        <f aca="false">SUM(F138:I138)</f>
        <v>9787.5</v>
      </c>
      <c r="K138" s="10" t="n">
        <v>19288</v>
      </c>
      <c r="L138" s="18" t="n">
        <f aca="false">IFERROR(J138/K138,"")</f>
        <v>0.507439858979677</v>
      </c>
      <c r="M138" s="19" t="n">
        <v>127.96</v>
      </c>
      <c r="N138" s="12" t="n">
        <f aca="false">J138*M138</f>
        <v>1252408.5</v>
      </c>
    </row>
    <row r="139" customFormat="false" ht="15" hidden="false" customHeight="false" outlineLevel="0" collapsed="false">
      <c r="A139" s="9" t="s">
        <v>224</v>
      </c>
      <c r="B139" s="9" t="s">
        <v>225</v>
      </c>
      <c r="C139" s="9" t="s">
        <v>56</v>
      </c>
      <c r="D139" s="9" t="s">
        <v>80</v>
      </c>
      <c r="E139" s="17" t="n">
        <v>46266</v>
      </c>
      <c r="F139" s="10" t="n">
        <v>101.8</v>
      </c>
      <c r="G139" s="10" t="n">
        <v>0</v>
      </c>
      <c r="H139" s="10" t="n">
        <v>1277.2</v>
      </c>
      <c r="I139" s="10" t="n">
        <v>0</v>
      </c>
      <c r="J139" s="11" t="n">
        <f aca="false">SUM(F139:I139)</f>
        <v>1379</v>
      </c>
      <c r="K139" s="10" t="n">
        <v>4026</v>
      </c>
      <c r="L139" s="18" t="n">
        <f aca="false">IFERROR(J139/K139,"")</f>
        <v>0.342523596621957</v>
      </c>
      <c r="M139" s="19" t="n">
        <v>180.81</v>
      </c>
      <c r="N139" s="12" t="n">
        <f aca="false">J139*M139</f>
        <v>249336.99</v>
      </c>
    </row>
    <row r="140" customFormat="false" ht="15" hidden="false" customHeight="false" outlineLevel="0" collapsed="false">
      <c r="A140" s="9" t="s">
        <v>226</v>
      </c>
      <c r="B140" s="9" t="s">
        <v>227</v>
      </c>
      <c r="C140" s="9" t="s">
        <v>56</v>
      </c>
      <c r="D140" s="9" t="s">
        <v>57</v>
      </c>
      <c r="E140" s="17" t="n">
        <v>46235</v>
      </c>
      <c r="F140" s="10" t="n">
        <v>63.8</v>
      </c>
      <c r="G140" s="10" t="n">
        <v>3821.1</v>
      </c>
      <c r="H140" s="10" t="n">
        <v>11615.7</v>
      </c>
      <c r="I140" s="10" t="n">
        <v>0</v>
      </c>
      <c r="J140" s="11" t="n">
        <f aca="false">SUM(F140:I140)</f>
        <v>15500.6</v>
      </c>
      <c r="K140" s="10" t="n">
        <v>29888</v>
      </c>
      <c r="L140" s="18" t="n">
        <f aca="false">IFERROR(J140/K140,"")</f>
        <v>0.518622858672377</v>
      </c>
      <c r="M140" s="19" t="n">
        <v>127.96</v>
      </c>
      <c r="N140" s="12" t="n">
        <f aca="false">J140*M140</f>
        <v>1983456.776</v>
      </c>
    </row>
    <row r="141" customFormat="false" ht="15" hidden="false" customHeight="false" outlineLevel="0" collapsed="false">
      <c r="A141" s="9" t="s">
        <v>226</v>
      </c>
      <c r="B141" s="9" t="s">
        <v>227</v>
      </c>
      <c r="C141" s="9" t="s">
        <v>56</v>
      </c>
      <c r="D141" s="9" t="s">
        <v>57</v>
      </c>
      <c r="E141" s="17" t="n">
        <v>46266</v>
      </c>
      <c r="F141" s="10" t="n">
        <v>0</v>
      </c>
      <c r="G141" s="10" t="n">
        <v>334.1</v>
      </c>
      <c r="H141" s="10" t="n">
        <v>1676.2</v>
      </c>
      <c r="I141" s="10" t="n">
        <v>0</v>
      </c>
      <c r="J141" s="11" t="n">
        <f aca="false">SUM(F141:I141)</f>
        <v>2010.3</v>
      </c>
      <c r="K141" s="10" t="n">
        <v>6475</v>
      </c>
      <c r="L141" s="18" t="n">
        <f aca="false">IFERROR(J141/K141,"")</f>
        <v>0.310471042471043</v>
      </c>
      <c r="M141" s="19" t="n">
        <v>180.81</v>
      </c>
      <c r="N141" s="12" t="n">
        <f aca="false">J141*M141</f>
        <v>363482.343</v>
      </c>
    </row>
    <row r="142" customFormat="false" ht="15" hidden="false" customHeight="false" outlineLevel="0" collapsed="false">
      <c r="A142" s="9" t="s">
        <v>228</v>
      </c>
      <c r="B142" s="9" t="s">
        <v>229</v>
      </c>
      <c r="C142" s="9" t="s">
        <v>68</v>
      </c>
      <c r="D142" s="9" t="s">
        <v>69</v>
      </c>
      <c r="E142" s="17" t="n">
        <v>46235</v>
      </c>
      <c r="F142" s="10" t="n">
        <v>7184.2</v>
      </c>
      <c r="G142" s="10" t="n">
        <v>0</v>
      </c>
      <c r="H142" s="10" t="n">
        <v>36860.6</v>
      </c>
      <c r="I142" s="10" t="n">
        <v>0</v>
      </c>
      <c r="J142" s="11" t="n">
        <f aca="false">SUM(F142:I142)</f>
        <v>44044.8</v>
      </c>
      <c r="K142" s="10" t="n">
        <v>135787</v>
      </c>
      <c r="L142" s="18" t="n">
        <f aca="false">IFERROR(J142/K142,"")</f>
        <v>0.32436683924087</v>
      </c>
      <c r="M142" s="19" t="n">
        <v>129.26</v>
      </c>
      <c r="N142" s="12" t="n">
        <f aca="false">J142*M142</f>
        <v>5693230.848</v>
      </c>
    </row>
    <row r="143" customFormat="false" ht="15" hidden="false" customHeight="false" outlineLevel="0" collapsed="false">
      <c r="A143" s="9" t="s">
        <v>228</v>
      </c>
      <c r="B143" s="9" t="s">
        <v>229</v>
      </c>
      <c r="C143" s="9" t="s">
        <v>68</v>
      </c>
      <c r="D143" s="9" t="s">
        <v>69</v>
      </c>
      <c r="E143" s="17" t="n">
        <v>46266</v>
      </c>
      <c r="F143" s="10" t="n">
        <v>18.8</v>
      </c>
      <c r="G143" s="10" t="n">
        <v>0</v>
      </c>
      <c r="H143" s="10" t="n">
        <v>6597.5</v>
      </c>
      <c r="I143" s="10" t="n">
        <v>0</v>
      </c>
      <c r="J143" s="11" t="n">
        <f aca="false">SUM(F143:I143)</f>
        <v>6616.3</v>
      </c>
      <c r="K143" s="10" t="n">
        <v>28923</v>
      </c>
      <c r="L143" s="18" t="n">
        <f aca="false">IFERROR(J143/K143,"")</f>
        <v>0.228755661584206</v>
      </c>
      <c r="M143" s="19" t="n">
        <v>182.45</v>
      </c>
      <c r="N143" s="12" t="n">
        <f aca="false">J143*M143</f>
        <v>1207143.935</v>
      </c>
    </row>
    <row r="144" customFormat="false" ht="15" hidden="false" customHeight="false" outlineLevel="0" collapsed="false">
      <c r="A144" s="9" t="s">
        <v>230</v>
      </c>
      <c r="B144" s="9" t="s">
        <v>231</v>
      </c>
      <c r="C144" s="9" t="s">
        <v>56</v>
      </c>
      <c r="D144" s="9" t="s">
        <v>61</v>
      </c>
      <c r="E144" s="17" t="n">
        <v>46235</v>
      </c>
      <c r="F144" s="10" t="n">
        <v>585.1</v>
      </c>
      <c r="G144" s="10" t="n">
        <v>826.9</v>
      </c>
      <c r="H144" s="10" t="n">
        <v>3291.6</v>
      </c>
      <c r="I144" s="10" t="n">
        <v>0</v>
      </c>
      <c r="J144" s="11" t="n">
        <f aca="false">SUM(F144:I144)</f>
        <v>4703.6</v>
      </c>
      <c r="K144" s="10" t="n">
        <v>13712</v>
      </c>
      <c r="L144" s="18" t="n">
        <f aca="false">IFERROR(J144/K144,"")</f>
        <v>0.343028004667445</v>
      </c>
      <c r="M144" s="19" t="n">
        <v>127.96</v>
      </c>
      <c r="N144" s="12" t="n">
        <f aca="false">J144*M144</f>
        <v>601872.656</v>
      </c>
    </row>
    <row r="145" customFormat="false" ht="15" hidden="false" customHeight="false" outlineLevel="0" collapsed="false">
      <c r="A145" s="9" t="s">
        <v>230</v>
      </c>
      <c r="B145" s="9" t="s">
        <v>231</v>
      </c>
      <c r="C145" s="9" t="s">
        <v>56</v>
      </c>
      <c r="D145" s="9" t="s">
        <v>61</v>
      </c>
      <c r="E145" s="17" t="n">
        <v>46266</v>
      </c>
      <c r="F145" s="10" t="n">
        <v>0</v>
      </c>
      <c r="G145" s="10" t="n">
        <v>141.4</v>
      </c>
      <c r="H145" s="10" t="n">
        <v>993.8</v>
      </c>
      <c r="I145" s="10" t="n">
        <v>0</v>
      </c>
      <c r="J145" s="11" t="n">
        <f aca="false">SUM(F145:I145)</f>
        <v>1135.2</v>
      </c>
      <c r="K145" s="10" t="n">
        <v>3402</v>
      </c>
      <c r="L145" s="18" t="n">
        <f aca="false">IFERROR(J145/K145,"")</f>
        <v>0.3336860670194</v>
      </c>
      <c r="M145" s="19" t="n">
        <v>180.81</v>
      </c>
      <c r="N145" s="12" t="n">
        <f aca="false">J145*M145</f>
        <v>205255.512</v>
      </c>
    </row>
    <row r="146" customFormat="false" ht="15" hidden="false" customHeight="false" outlineLevel="0" collapsed="false">
      <c r="A146" s="9" t="s">
        <v>232</v>
      </c>
      <c r="B146" s="9" t="s">
        <v>233</v>
      </c>
      <c r="C146" s="9" t="s">
        <v>56</v>
      </c>
      <c r="D146" s="9" t="s">
        <v>80</v>
      </c>
      <c r="E146" s="17" t="n">
        <v>46235</v>
      </c>
      <c r="F146" s="10" t="n">
        <v>9589.5</v>
      </c>
      <c r="G146" s="10" t="n">
        <v>94.8</v>
      </c>
      <c r="H146" s="10" t="n">
        <v>39127.2</v>
      </c>
      <c r="I146" s="10" t="n">
        <v>0</v>
      </c>
      <c r="J146" s="11" t="n">
        <f aca="false">SUM(F146:I146)</f>
        <v>48811.5</v>
      </c>
      <c r="K146" s="10" t="n">
        <v>88800</v>
      </c>
      <c r="L146" s="18" t="n">
        <f aca="false">IFERROR(J146/K146,"")</f>
        <v>0.549679054054054</v>
      </c>
      <c r="M146" s="19" t="n">
        <v>127.96</v>
      </c>
      <c r="N146" s="12" t="n">
        <f aca="false">J146*M146</f>
        <v>6245919.54</v>
      </c>
    </row>
    <row r="147" customFormat="false" ht="15" hidden="false" customHeight="false" outlineLevel="0" collapsed="false">
      <c r="A147" s="9" t="s">
        <v>232</v>
      </c>
      <c r="B147" s="9" t="s">
        <v>233</v>
      </c>
      <c r="C147" s="9" t="s">
        <v>56</v>
      </c>
      <c r="D147" s="9" t="s">
        <v>80</v>
      </c>
      <c r="E147" s="17" t="n">
        <v>46266</v>
      </c>
      <c r="F147" s="10" t="n">
        <v>603.4</v>
      </c>
      <c r="G147" s="10" t="n">
        <v>0</v>
      </c>
      <c r="H147" s="10" t="n">
        <v>7209.1</v>
      </c>
      <c r="I147" s="10" t="n">
        <v>0</v>
      </c>
      <c r="J147" s="11" t="n">
        <f aca="false">SUM(F147:I147)</f>
        <v>7812.5</v>
      </c>
      <c r="K147" s="10" t="n">
        <v>20777</v>
      </c>
      <c r="L147" s="18" t="n">
        <f aca="false">IFERROR(J147/K147,"")</f>
        <v>0.37601674929008</v>
      </c>
      <c r="M147" s="19" t="n">
        <v>180.81</v>
      </c>
      <c r="N147" s="12" t="n">
        <f aca="false">J147*M147</f>
        <v>1412578.125</v>
      </c>
    </row>
    <row r="148" customFormat="false" ht="15" hidden="false" customHeight="false" outlineLevel="0" collapsed="false">
      <c r="A148" s="9" t="s">
        <v>235</v>
      </c>
      <c r="B148" s="9" t="s">
        <v>236</v>
      </c>
      <c r="C148" s="9" t="s">
        <v>56</v>
      </c>
      <c r="D148" s="9" t="s">
        <v>137</v>
      </c>
      <c r="E148" s="17" t="n">
        <v>46235</v>
      </c>
      <c r="F148" s="10" t="n">
        <v>384.2</v>
      </c>
      <c r="G148" s="10" t="n">
        <v>0</v>
      </c>
      <c r="H148" s="10" t="n">
        <v>8023.3</v>
      </c>
      <c r="I148" s="10" t="n">
        <v>0</v>
      </c>
      <c r="J148" s="11" t="n">
        <f aca="false">SUM(F148:I148)</f>
        <v>8407.5</v>
      </c>
      <c r="K148" s="10" t="n">
        <v>45245</v>
      </c>
      <c r="L148" s="18" t="n">
        <f aca="false">IFERROR(J148/K148,"")</f>
        <v>0.185821637750028</v>
      </c>
      <c r="M148" s="19" t="n">
        <v>127.96</v>
      </c>
      <c r="N148" s="12" t="n">
        <f aca="false">J148*M148</f>
        <v>1075823.7</v>
      </c>
    </row>
    <row r="149" customFormat="false" ht="15" hidden="false" customHeight="false" outlineLevel="0" collapsed="false">
      <c r="A149" s="9" t="s">
        <v>235</v>
      </c>
      <c r="B149" s="9" t="s">
        <v>236</v>
      </c>
      <c r="C149" s="9" t="s">
        <v>56</v>
      </c>
      <c r="D149" s="9" t="s">
        <v>137</v>
      </c>
      <c r="E149" s="17" t="n">
        <v>46266</v>
      </c>
      <c r="F149" s="10" t="n">
        <v>0</v>
      </c>
      <c r="G149" s="10" t="n">
        <v>0</v>
      </c>
      <c r="H149" s="10" t="n">
        <v>2168.6</v>
      </c>
      <c r="I149" s="10" t="n">
        <v>0</v>
      </c>
      <c r="J149" s="11" t="n">
        <f aca="false">SUM(F149:I149)</f>
        <v>2168.6</v>
      </c>
      <c r="K149" s="10" t="n">
        <v>9388</v>
      </c>
      <c r="L149" s="18" t="n">
        <f aca="false">IFERROR(J149/K149,"")</f>
        <v>0.23099701746911</v>
      </c>
      <c r="M149" s="19" t="n">
        <v>180.81</v>
      </c>
      <c r="N149" s="12" t="n">
        <f aca="false">J149*M149</f>
        <v>392104.566</v>
      </c>
    </row>
    <row r="150" customFormat="false" ht="15" hidden="false" customHeight="false" outlineLevel="0" collapsed="false">
      <c r="A150" s="9" t="s">
        <v>237</v>
      </c>
      <c r="B150" s="9" t="s">
        <v>238</v>
      </c>
      <c r="C150" s="9" t="s">
        <v>56</v>
      </c>
      <c r="D150" s="9" t="s">
        <v>80</v>
      </c>
      <c r="E150" s="17" t="n">
        <v>46235</v>
      </c>
      <c r="F150" s="10" t="n">
        <v>1514.3</v>
      </c>
      <c r="G150" s="10" t="n">
        <v>419.5</v>
      </c>
      <c r="H150" s="10" t="n">
        <v>5000.4</v>
      </c>
      <c r="I150" s="10" t="n">
        <v>0</v>
      </c>
      <c r="J150" s="11" t="n">
        <f aca="false">SUM(F150:I150)</f>
        <v>6934.2</v>
      </c>
      <c r="K150" s="10" t="n">
        <v>12346</v>
      </c>
      <c r="L150" s="18" t="n">
        <f aca="false">IFERROR(J150/K150,"")</f>
        <v>0.561655596954479</v>
      </c>
      <c r="M150" s="19" t="n">
        <v>127.96</v>
      </c>
      <c r="N150" s="12" t="n">
        <f aca="false">J150*M150</f>
        <v>887300.232</v>
      </c>
    </row>
    <row r="151" customFormat="false" ht="15" hidden="false" customHeight="false" outlineLevel="0" collapsed="false">
      <c r="A151" s="9" t="s">
        <v>237</v>
      </c>
      <c r="B151" s="9" t="s">
        <v>238</v>
      </c>
      <c r="C151" s="9" t="s">
        <v>56</v>
      </c>
      <c r="D151" s="9" t="s">
        <v>80</v>
      </c>
      <c r="E151" s="17" t="n">
        <v>46266</v>
      </c>
      <c r="F151" s="10" t="n">
        <v>82.4</v>
      </c>
      <c r="G151" s="10" t="n">
        <v>33.3</v>
      </c>
      <c r="H151" s="10" t="n">
        <v>793.2</v>
      </c>
      <c r="I151" s="10" t="n">
        <v>0</v>
      </c>
      <c r="J151" s="11" t="n">
        <f aca="false">SUM(F151:I151)</f>
        <v>908.9</v>
      </c>
      <c r="K151" s="10" t="n">
        <v>2760</v>
      </c>
      <c r="L151" s="18" t="n">
        <f aca="false">IFERROR(J151/K151,"")</f>
        <v>0.329311594202899</v>
      </c>
      <c r="M151" s="19" t="n">
        <v>180.81</v>
      </c>
      <c r="N151" s="12" t="n">
        <f aca="false">J151*M151</f>
        <v>164338.209</v>
      </c>
    </row>
    <row r="152" customFormat="false" ht="15" hidden="false" customHeight="false" outlineLevel="0" collapsed="false">
      <c r="A152" s="9" t="s">
        <v>239</v>
      </c>
      <c r="B152" s="9" t="s">
        <v>240</v>
      </c>
      <c r="C152" s="9" t="s">
        <v>56</v>
      </c>
      <c r="D152" s="9" t="s">
        <v>97</v>
      </c>
      <c r="E152" s="17" t="n">
        <v>46235</v>
      </c>
      <c r="F152" s="10" t="n">
        <v>0</v>
      </c>
      <c r="G152" s="10" t="n">
        <v>0</v>
      </c>
      <c r="H152" s="10" t="n">
        <v>10554</v>
      </c>
      <c r="I152" s="10" t="n">
        <v>0</v>
      </c>
      <c r="J152" s="11" t="n">
        <f aca="false">SUM(F152:I152)</f>
        <v>10554</v>
      </c>
      <c r="K152" s="10" t="n">
        <v>34122</v>
      </c>
      <c r="L152" s="18" t="n">
        <f aca="false">IFERROR(J152/K152,"")</f>
        <v>0.309301916652013</v>
      </c>
      <c r="M152" s="19" t="n">
        <v>127.96</v>
      </c>
      <c r="N152" s="12" t="n">
        <f aca="false">J152*M152</f>
        <v>1350489.84</v>
      </c>
    </row>
    <row r="153" customFormat="false" ht="15" hidden="false" customHeight="false" outlineLevel="0" collapsed="false">
      <c r="A153" s="9" t="s">
        <v>239</v>
      </c>
      <c r="B153" s="9" t="s">
        <v>240</v>
      </c>
      <c r="C153" s="9" t="s">
        <v>56</v>
      </c>
      <c r="D153" s="9" t="s">
        <v>97</v>
      </c>
      <c r="E153" s="17" t="n">
        <v>46266</v>
      </c>
      <c r="F153" s="10" t="n">
        <v>0</v>
      </c>
      <c r="G153" s="10" t="n">
        <v>0</v>
      </c>
      <c r="H153" s="10" t="n">
        <v>2659.9</v>
      </c>
      <c r="I153" s="10" t="n">
        <v>0</v>
      </c>
      <c r="J153" s="11" t="n">
        <f aca="false">SUM(F153:I153)</f>
        <v>2659.9</v>
      </c>
      <c r="K153" s="10" t="n">
        <v>8671</v>
      </c>
      <c r="L153" s="18" t="n">
        <f aca="false">IFERROR(J153/K153,"")</f>
        <v>0.306758159381848</v>
      </c>
      <c r="M153" s="19" t="n">
        <v>180.81</v>
      </c>
      <c r="N153" s="12" t="n">
        <f aca="false">J153*M153</f>
        <v>480936.519</v>
      </c>
    </row>
    <row r="154" customFormat="false" ht="15" hidden="false" customHeight="false" outlineLevel="0" collapsed="false">
      <c r="A154" s="9" t="s">
        <v>242</v>
      </c>
      <c r="B154" s="9" t="s">
        <v>243</v>
      </c>
      <c r="C154" s="9" t="s">
        <v>56</v>
      </c>
      <c r="D154" s="9" t="s">
        <v>97</v>
      </c>
      <c r="E154" s="17" t="n">
        <v>46235</v>
      </c>
      <c r="F154" s="10" t="n">
        <v>5.7</v>
      </c>
      <c r="G154" s="10" t="n">
        <v>34</v>
      </c>
      <c r="H154" s="10" t="n">
        <v>937.6</v>
      </c>
      <c r="I154" s="10" t="n">
        <v>0</v>
      </c>
      <c r="J154" s="11" t="n">
        <f aca="false">SUM(F154:I154)</f>
        <v>977.3</v>
      </c>
      <c r="K154" s="10" t="n">
        <v>1609</v>
      </c>
      <c r="L154" s="18" t="n">
        <f aca="false">IFERROR(J154/K154,"")</f>
        <v>0.607395898073338</v>
      </c>
      <c r="M154" s="19" t="n">
        <v>127.96</v>
      </c>
      <c r="N154" s="12" t="n">
        <f aca="false">J154*M154</f>
        <v>125055.308</v>
      </c>
    </row>
    <row r="155" customFormat="false" ht="15" hidden="false" customHeight="false" outlineLevel="0" collapsed="false">
      <c r="A155" s="9" t="s">
        <v>242</v>
      </c>
      <c r="B155" s="9" t="s">
        <v>243</v>
      </c>
      <c r="C155" s="9" t="s">
        <v>56</v>
      </c>
      <c r="D155" s="9" t="s">
        <v>97</v>
      </c>
      <c r="E155" s="17" t="n">
        <v>46266</v>
      </c>
      <c r="F155" s="10" t="n">
        <v>0</v>
      </c>
      <c r="G155" s="10" t="n">
        <v>3.5</v>
      </c>
      <c r="H155" s="10" t="n">
        <v>107.1</v>
      </c>
      <c r="I155" s="10" t="n">
        <v>0</v>
      </c>
      <c r="J155" s="11" t="n">
        <f aca="false">SUM(F155:I155)</f>
        <v>110.6</v>
      </c>
      <c r="K155" s="10" t="n">
        <v>253</v>
      </c>
      <c r="L155" s="18" t="n">
        <f aca="false">IFERROR(J155/K155,"")</f>
        <v>0.437154150197628</v>
      </c>
      <c r="M155" s="19" t="n">
        <v>180.81</v>
      </c>
      <c r="N155" s="12" t="n">
        <f aca="false">J155*M155</f>
        <v>19997.586</v>
      </c>
    </row>
    <row r="156" customFormat="false" ht="15" hidden="false" customHeight="false" outlineLevel="0" collapsed="false">
      <c r="A156" s="9" t="s">
        <v>244</v>
      </c>
      <c r="B156" s="9" t="s">
        <v>245</v>
      </c>
      <c r="C156" s="9" t="s">
        <v>68</v>
      </c>
      <c r="D156" s="9" t="s">
        <v>69</v>
      </c>
      <c r="E156" s="17" t="n">
        <v>46235</v>
      </c>
      <c r="F156" s="10" t="n">
        <v>0</v>
      </c>
      <c r="G156" s="10" t="n">
        <v>0</v>
      </c>
      <c r="H156" s="10" t="n">
        <v>882.1</v>
      </c>
      <c r="I156" s="10" t="n">
        <v>0</v>
      </c>
      <c r="J156" s="11" t="n">
        <f aca="false">SUM(F156:I156)</f>
        <v>882.1</v>
      </c>
      <c r="K156" s="10" t="n">
        <v>5511</v>
      </c>
      <c r="L156" s="18" t="n">
        <f aca="false">IFERROR(J156/K156,"")</f>
        <v>0.160061694792234</v>
      </c>
      <c r="M156" s="19" t="n">
        <v>129.26</v>
      </c>
      <c r="N156" s="12" t="n">
        <f aca="false">J156*M156</f>
        <v>114020.246</v>
      </c>
    </row>
    <row r="157" customFormat="false" ht="15" hidden="false" customHeight="false" outlineLevel="0" collapsed="false">
      <c r="A157" s="9" t="s">
        <v>244</v>
      </c>
      <c r="B157" s="9" t="s">
        <v>245</v>
      </c>
      <c r="C157" s="9" t="s">
        <v>68</v>
      </c>
      <c r="D157" s="9" t="s">
        <v>69</v>
      </c>
      <c r="E157" s="17" t="n">
        <v>46266</v>
      </c>
      <c r="F157" s="10" t="n">
        <v>0</v>
      </c>
      <c r="G157" s="10" t="n">
        <v>0</v>
      </c>
      <c r="H157" s="10" t="n">
        <v>224.1</v>
      </c>
      <c r="I157" s="10" t="n">
        <v>0</v>
      </c>
      <c r="J157" s="11" t="n">
        <f aca="false">SUM(F157:I157)</f>
        <v>224.1</v>
      </c>
      <c r="K157" s="10" t="n">
        <v>1547</v>
      </c>
      <c r="L157" s="18" t="n">
        <f aca="false">IFERROR(J157/K157,"")</f>
        <v>0.14486102133161</v>
      </c>
      <c r="M157" s="19" t="n">
        <v>182.45</v>
      </c>
      <c r="N157" s="12" t="n">
        <f aca="false">J157*M157</f>
        <v>40887.045</v>
      </c>
    </row>
    <row r="158" customFormat="false" ht="15" hidden="false" customHeight="false" outlineLevel="0" collapsed="false">
      <c r="A158" s="9" t="s">
        <v>247</v>
      </c>
      <c r="B158" s="9" t="s">
        <v>248</v>
      </c>
      <c r="C158" s="9" t="s">
        <v>68</v>
      </c>
      <c r="D158" s="9" t="s">
        <v>69</v>
      </c>
      <c r="E158" s="17" t="n">
        <v>46235</v>
      </c>
      <c r="F158" s="10" t="n">
        <v>0</v>
      </c>
      <c r="G158" s="10" t="n">
        <v>0</v>
      </c>
      <c r="H158" s="10" t="n">
        <v>2559.5</v>
      </c>
      <c r="I158" s="10" t="n">
        <v>0</v>
      </c>
      <c r="J158" s="11" t="n">
        <f aca="false">SUM(F158:I158)</f>
        <v>2559.5</v>
      </c>
      <c r="K158" s="10" t="n">
        <v>16211</v>
      </c>
      <c r="L158" s="18" t="n">
        <f aca="false">IFERROR(J158/K158,"")</f>
        <v>0.157886620196163</v>
      </c>
      <c r="M158" s="19" t="n">
        <v>129.26</v>
      </c>
      <c r="N158" s="12" t="n">
        <f aca="false">J158*M158</f>
        <v>330840.97</v>
      </c>
    </row>
    <row r="159" customFormat="false" ht="15" hidden="false" customHeight="false" outlineLevel="0" collapsed="false">
      <c r="A159" s="9" t="s">
        <v>247</v>
      </c>
      <c r="B159" s="9" t="s">
        <v>248</v>
      </c>
      <c r="C159" s="9" t="s">
        <v>68</v>
      </c>
      <c r="D159" s="9" t="s">
        <v>69</v>
      </c>
      <c r="E159" s="17" t="n">
        <v>46266</v>
      </c>
      <c r="F159" s="10" t="n">
        <v>0</v>
      </c>
      <c r="G159" s="10" t="n">
        <v>0</v>
      </c>
      <c r="H159" s="10" t="n">
        <v>1085.5</v>
      </c>
      <c r="I159" s="10" t="n">
        <v>0</v>
      </c>
      <c r="J159" s="11" t="n">
        <f aca="false">SUM(F159:I159)</f>
        <v>1085.5</v>
      </c>
      <c r="K159" s="10" t="n">
        <v>4135</v>
      </c>
      <c r="L159" s="18" t="n">
        <f aca="false">IFERROR(J159/K159,"")</f>
        <v>0.262515114873035</v>
      </c>
      <c r="M159" s="19" t="n">
        <v>182.45</v>
      </c>
      <c r="N159" s="12" t="n">
        <f aca="false">J159*M159</f>
        <v>198049.475</v>
      </c>
    </row>
    <row r="160" customFormat="false" ht="15" hidden="false" customHeight="false" outlineLevel="0" collapsed="false">
      <c r="A160" s="9" t="s">
        <v>249</v>
      </c>
      <c r="B160" s="9" t="s">
        <v>250</v>
      </c>
      <c r="C160" s="9" t="s">
        <v>68</v>
      </c>
      <c r="D160" s="9" t="s">
        <v>69</v>
      </c>
      <c r="E160" s="17" t="n">
        <v>46235</v>
      </c>
      <c r="F160" s="10" t="n">
        <v>0</v>
      </c>
      <c r="G160" s="10" t="n">
        <v>0</v>
      </c>
      <c r="H160" s="10" t="n">
        <v>6313.5</v>
      </c>
      <c r="I160" s="10" t="n">
        <v>0</v>
      </c>
      <c r="J160" s="11" t="n">
        <f aca="false">SUM(F160:I160)</f>
        <v>6313.5</v>
      </c>
      <c r="K160" s="10" t="n">
        <v>21615</v>
      </c>
      <c r="L160" s="18" t="n">
        <f aca="false">IFERROR(J160/K160,"")</f>
        <v>0.292088827203331</v>
      </c>
      <c r="M160" s="19" t="n">
        <v>129.26</v>
      </c>
      <c r="N160" s="12" t="n">
        <f aca="false">J160*M160</f>
        <v>816083.01</v>
      </c>
    </row>
    <row r="161" customFormat="false" ht="15" hidden="false" customHeight="false" outlineLevel="0" collapsed="false">
      <c r="A161" s="9" t="s">
        <v>249</v>
      </c>
      <c r="B161" s="9" t="s">
        <v>250</v>
      </c>
      <c r="C161" s="9" t="s">
        <v>68</v>
      </c>
      <c r="D161" s="9" t="s">
        <v>69</v>
      </c>
      <c r="E161" s="17" t="n">
        <v>46266</v>
      </c>
      <c r="F161" s="10" t="n">
        <v>0</v>
      </c>
      <c r="G161" s="10" t="n">
        <v>0</v>
      </c>
      <c r="H161" s="10" t="n">
        <v>402.4</v>
      </c>
      <c r="I161" s="10" t="n">
        <v>0</v>
      </c>
      <c r="J161" s="11" t="n">
        <f aca="false">SUM(F161:I161)</f>
        <v>402.4</v>
      </c>
      <c r="K161" s="10" t="n">
        <v>2320</v>
      </c>
      <c r="L161" s="18" t="n">
        <f aca="false">IFERROR(J161/K161,"")</f>
        <v>0.173448275862069</v>
      </c>
      <c r="M161" s="19" t="n">
        <v>182.45</v>
      </c>
      <c r="N161" s="12" t="n">
        <f aca="false">J161*M161</f>
        <v>73417.88</v>
      </c>
    </row>
    <row r="162" customFormat="false" ht="15" hidden="false" customHeight="false" outlineLevel="0" collapsed="false">
      <c r="A162" s="9" t="s">
        <v>251</v>
      </c>
      <c r="B162" s="9" t="s">
        <v>252</v>
      </c>
      <c r="C162" s="9" t="s">
        <v>68</v>
      </c>
      <c r="D162" s="9" t="s">
        <v>69</v>
      </c>
      <c r="E162" s="17" t="n">
        <v>46235</v>
      </c>
      <c r="F162" s="10" t="n">
        <v>10005.6</v>
      </c>
      <c r="G162" s="10" t="n">
        <v>0</v>
      </c>
      <c r="H162" s="10" t="n">
        <v>44516.6</v>
      </c>
      <c r="I162" s="10" t="n">
        <v>0</v>
      </c>
      <c r="J162" s="11" t="n">
        <f aca="false">SUM(F162:I162)</f>
        <v>54522.2</v>
      </c>
      <c r="K162" s="10" t="n">
        <v>182523</v>
      </c>
      <c r="L162" s="18" t="n">
        <f aca="false">IFERROR(J162/K162,"")</f>
        <v>0.298714134657002</v>
      </c>
      <c r="M162" s="19" t="n">
        <v>129.26</v>
      </c>
      <c r="N162" s="12" t="n">
        <f aca="false">J162*M162</f>
        <v>7047539.572</v>
      </c>
    </row>
    <row r="163" customFormat="false" ht="15" hidden="false" customHeight="false" outlineLevel="0" collapsed="false">
      <c r="A163" s="9" t="s">
        <v>251</v>
      </c>
      <c r="B163" s="9" t="s">
        <v>252</v>
      </c>
      <c r="C163" s="9" t="s">
        <v>68</v>
      </c>
      <c r="D163" s="9" t="s">
        <v>69</v>
      </c>
      <c r="E163" s="17" t="n">
        <v>46266</v>
      </c>
      <c r="F163" s="10" t="n">
        <v>41.7</v>
      </c>
      <c r="G163" s="10" t="n">
        <v>0</v>
      </c>
      <c r="H163" s="10" t="n">
        <v>6781.3</v>
      </c>
      <c r="I163" s="10" t="n">
        <v>0</v>
      </c>
      <c r="J163" s="11" t="n">
        <f aca="false">SUM(F163:I163)</f>
        <v>6823</v>
      </c>
      <c r="K163" s="10" t="n">
        <v>34310</v>
      </c>
      <c r="L163" s="18" t="n">
        <f aca="false">IFERROR(J163/K163,"")</f>
        <v>0.198863305158846</v>
      </c>
      <c r="M163" s="19" t="n">
        <v>182.45</v>
      </c>
      <c r="N163" s="12" t="n">
        <f aca="false">J163*M163</f>
        <v>1244856.35</v>
      </c>
    </row>
    <row r="164" customFormat="false" ht="15" hidden="false" customHeight="false" outlineLevel="0" collapsed="false">
      <c r="A164" s="9" t="s">
        <v>253</v>
      </c>
      <c r="B164" s="9" t="s">
        <v>254</v>
      </c>
      <c r="C164" s="9" t="s">
        <v>56</v>
      </c>
      <c r="D164" s="9" t="s">
        <v>57</v>
      </c>
      <c r="E164" s="17" t="n">
        <v>46235</v>
      </c>
      <c r="F164" s="10" t="n">
        <v>0</v>
      </c>
      <c r="G164" s="10" t="n">
        <v>0</v>
      </c>
      <c r="H164" s="10" t="n">
        <v>0</v>
      </c>
      <c r="I164" s="10" t="n">
        <v>0</v>
      </c>
      <c r="J164" s="11" t="n">
        <f aca="false">SUM(F164:I164)</f>
        <v>0</v>
      </c>
      <c r="K164" s="10" t="n">
        <v>0</v>
      </c>
      <c r="L164" s="18" t="str">
        <f aca="false">IFERROR(J164/K164,"")</f>
        <v/>
      </c>
      <c r="M164" s="19" t="n">
        <v>127.96</v>
      </c>
      <c r="N164" s="12" t="n">
        <f aca="false">J164*M164</f>
        <v>0</v>
      </c>
    </row>
    <row r="165" customFormat="false" ht="15" hidden="false" customHeight="false" outlineLevel="0" collapsed="false">
      <c r="A165" s="9" t="s">
        <v>253</v>
      </c>
      <c r="B165" s="9" t="s">
        <v>254</v>
      </c>
      <c r="C165" s="9" t="s">
        <v>56</v>
      </c>
      <c r="D165" s="9" t="s">
        <v>57</v>
      </c>
      <c r="E165" s="17" t="n">
        <v>46266</v>
      </c>
      <c r="F165" s="10" t="n">
        <v>0</v>
      </c>
      <c r="G165" s="10" t="n">
        <v>0</v>
      </c>
      <c r="H165" s="10" t="n">
        <v>0</v>
      </c>
      <c r="I165" s="10" t="n">
        <v>0</v>
      </c>
      <c r="J165" s="11" t="n">
        <f aca="false">SUM(F165:I165)</f>
        <v>0</v>
      </c>
      <c r="K165" s="10" t="n">
        <v>0</v>
      </c>
      <c r="L165" s="18" t="str">
        <f aca="false">IFERROR(J165/K165,"")</f>
        <v/>
      </c>
      <c r="M165" s="19" t="n">
        <v>180.81</v>
      </c>
      <c r="N165" s="12" t="n">
        <f aca="false">J165*M165</f>
        <v>0</v>
      </c>
    </row>
    <row r="166" customFormat="false" ht="15" hidden="false" customHeight="false" outlineLevel="0" collapsed="false">
      <c r="A166" s="9" t="s">
        <v>255</v>
      </c>
      <c r="B166" s="9" t="s">
        <v>256</v>
      </c>
      <c r="C166" s="9" t="s">
        <v>56</v>
      </c>
      <c r="D166" s="9" t="s">
        <v>61</v>
      </c>
      <c r="E166" s="17" t="n">
        <v>46235</v>
      </c>
      <c r="F166" s="10" t="n">
        <v>468.1</v>
      </c>
      <c r="G166" s="10" t="n">
        <v>31.6</v>
      </c>
      <c r="H166" s="10" t="n">
        <v>3928.3</v>
      </c>
      <c r="I166" s="10" t="n">
        <v>0</v>
      </c>
      <c r="J166" s="11" t="n">
        <f aca="false">SUM(F166:I166)</f>
        <v>4428</v>
      </c>
      <c r="K166" s="10" t="n">
        <v>11652</v>
      </c>
      <c r="L166" s="18" t="n">
        <f aca="false">IFERROR(J166/K166,"")</f>
        <v>0.380020597322348</v>
      </c>
      <c r="M166" s="19" t="n">
        <v>127.96</v>
      </c>
      <c r="N166" s="12" t="n">
        <f aca="false">J166*M166</f>
        <v>566606.88</v>
      </c>
    </row>
    <row r="167" customFormat="false" ht="15" hidden="false" customHeight="false" outlineLevel="0" collapsed="false">
      <c r="A167" s="9" t="s">
        <v>255</v>
      </c>
      <c r="B167" s="9" t="s">
        <v>256</v>
      </c>
      <c r="C167" s="9" t="s">
        <v>56</v>
      </c>
      <c r="D167" s="9" t="s">
        <v>61</v>
      </c>
      <c r="E167" s="17" t="n">
        <v>46266</v>
      </c>
      <c r="F167" s="10" t="n">
        <v>0</v>
      </c>
      <c r="G167" s="10" t="n">
        <v>0</v>
      </c>
      <c r="H167" s="10" t="n">
        <v>854.9</v>
      </c>
      <c r="I167" s="10" t="n">
        <v>0</v>
      </c>
      <c r="J167" s="11" t="n">
        <f aca="false">SUM(F167:I167)</f>
        <v>854.9</v>
      </c>
      <c r="K167" s="10" t="n">
        <v>2495</v>
      </c>
      <c r="L167" s="18" t="n">
        <f aca="false">IFERROR(J167/K167,"")</f>
        <v>0.342645290581162</v>
      </c>
      <c r="M167" s="19" t="n">
        <v>180.81</v>
      </c>
      <c r="N167" s="12" t="n">
        <f aca="false">J167*M167</f>
        <v>154574.469</v>
      </c>
    </row>
    <row r="168" customFormat="false" ht="15" hidden="false" customHeight="false" outlineLevel="0" collapsed="false">
      <c r="A168" s="9" t="s">
        <v>258</v>
      </c>
      <c r="B168" s="9" t="s">
        <v>259</v>
      </c>
      <c r="C168" s="9" t="s">
        <v>56</v>
      </c>
      <c r="D168" s="9" t="s">
        <v>137</v>
      </c>
      <c r="E168" s="17" t="n">
        <v>46235</v>
      </c>
      <c r="F168" s="10" t="n">
        <v>54.4</v>
      </c>
      <c r="G168" s="10" t="n">
        <v>0</v>
      </c>
      <c r="H168" s="10" t="n">
        <v>4513.6</v>
      </c>
      <c r="I168" s="10" t="n">
        <v>0</v>
      </c>
      <c r="J168" s="11" t="n">
        <f aca="false">SUM(F168:I168)</f>
        <v>4568</v>
      </c>
      <c r="K168" s="10" t="n">
        <v>10272</v>
      </c>
      <c r="L168" s="18" t="n">
        <f aca="false">IFERROR(J168/K168,"")</f>
        <v>0.444704049844237</v>
      </c>
      <c r="M168" s="19" t="n">
        <v>127.96</v>
      </c>
      <c r="N168" s="12" t="n">
        <f aca="false">J168*M168</f>
        <v>584521.28</v>
      </c>
    </row>
    <row r="169" customFormat="false" ht="15" hidden="false" customHeight="false" outlineLevel="0" collapsed="false">
      <c r="A169" s="9" t="s">
        <v>258</v>
      </c>
      <c r="B169" s="9" t="s">
        <v>259</v>
      </c>
      <c r="C169" s="9" t="s">
        <v>56</v>
      </c>
      <c r="D169" s="9" t="s">
        <v>137</v>
      </c>
      <c r="E169" s="17" t="n">
        <v>46266</v>
      </c>
      <c r="F169" s="10" t="n">
        <v>0</v>
      </c>
      <c r="G169" s="10" t="n">
        <v>0</v>
      </c>
      <c r="H169" s="10" t="n">
        <v>987</v>
      </c>
      <c r="I169" s="10" t="n">
        <v>0</v>
      </c>
      <c r="J169" s="11" t="n">
        <f aca="false">SUM(F169:I169)</f>
        <v>987</v>
      </c>
      <c r="K169" s="10" t="n">
        <v>2561</v>
      </c>
      <c r="L169" s="18" t="n">
        <f aca="false">IFERROR(J169/K169,"")</f>
        <v>0.385396329558766</v>
      </c>
      <c r="M169" s="19" t="n">
        <v>180.81</v>
      </c>
      <c r="N169" s="12" t="n">
        <f aca="false">J169*M169</f>
        <v>178459.47</v>
      </c>
    </row>
  </sheetData>
  <autoFilter ref="A4:N1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</cols>
  <sheetData>
    <row r="1" customFormat="false" ht="16.15" hidden="false" customHeight="false" outlineLevel="0" collapsed="false">
      <c r="A1" s="6" t="s">
        <v>266</v>
      </c>
    </row>
    <row r="2" customFormat="false" ht="15" hidden="false" customHeight="false" outlineLevel="0" collapsed="false">
      <c r="A2" s="7" t="s">
        <v>267</v>
      </c>
    </row>
    <row r="4" customFormat="false" ht="15" hidden="false" customHeight="false" outlineLevel="0" collapsed="false">
      <c r="A4" s="20" t="s">
        <v>268</v>
      </c>
      <c r="B4" s="20" t="s">
        <v>42</v>
      </c>
      <c r="C4" s="20" t="s">
        <v>269</v>
      </c>
    </row>
    <row r="5" customFormat="false" ht="15" hidden="false" customHeight="false" outlineLevel="0" collapsed="false">
      <c r="A5" s="21" t="n">
        <v>46228</v>
      </c>
      <c r="B5" s="9" t="s">
        <v>270</v>
      </c>
      <c r="C5" s="19" t="n">
        <v>146.19</v>
      </c>
    </row>
    <row r="6" customFormat="false" ht="15" hidden="false" customHeight="false" outlineLevel="0" collapsed="false">
      <c r="A6" s="21" t="n">
        <v>46235</v>
      </c>
      <c r="B6" s="9" t="s">
        <v>270</v>
      </c>
      <c r="C6" s="19" t="n">
        <v>117.88</v>
      </c>
    </row>
    <row r="7" customFormat="false" ht="15" hidden="false" customHeight="false" outlineLevel="0" collapsed="false">
      <c r="A7" s="21" t="n">
        <v>46242</v>
      </c>
      <c r="B7" s="9" t="s">
        <v>270</v>
      </c>
      <c r="C7" s="19" t="n">
        <v>128.48</v>
      </c>
    </row>
    <row r="8" customFormat="false" ht="15" hidden="false" customHeight="false" outlineLevel="0" collapsed="false">
      <c r="A8" s="21" t="n">
        <v>46249</v>
      </c>
      <c r="B8" s="9" t="s">
        <v>270</v>
      </c>
      <c r="C8" s="19" t="n">
        <v>117.92</v>
      </c>
    </row>
    <row r="9" customFormat="false" ht="15" hidden="false" customHeight="false" outlineLevel="0" collapsed="false">
      <c r="A9" s="21" t="n">
        <v>46256</v>
      </c>
      <c r="B9" s="9" t="s">
        <v>270</v>
      </c>
      <c r="C9" s="19" t="n">
        <v>125.37</v>
      </c>
    </row>
    <row r="10" customFormat="false" ht="15" hidden="false" customHeight="false" outlineLevel="0" collapsed="false">
      <c r="A10" s="21" t="n">
        <v>46263</v>
      </c>
      <c r="B10" s="9" t="s">
        <v>270</v>
      </c>
      <c r="C10" s="19" t="n">
        <v>181.81</v>
      </c>
    </row>
    <row r="11" customFormat="false" ht="15" hidden="false" customHeight="false" outlineLevel="0" collapsed="false">
      <c r="A11" s="21" t="n">
        <v>46228</v>
      </c>
      <c r="B11" s="9" t="s">
        <v>56</v>
      </c>
      <c r="C11" s="19" t="n">
        <v>146.13</v>
      </c>
    </row>
    <row r="12" customFormat="false" ht="15" hidden="false" customHeight="false" outlineLevel="0" collapsed="false">
      <c r="A12" s="21" t="n">
        <v>46235</v>
      </c>
      <c r="B12" s="9" t="s">
        <v>56</v>
      </c>
      <c r="C12" s="19" t="n">
        <v>117.82</v>
      </c>
    </row>
    <row r="13" customFormat="false" ht="15" hidden="false" customHeight="false" outlineLevel="0" collapsed="false">
      <c r="A13" s="21" t="n">
        <v>46242</v>
      </c>
      <c r="B13" s="9" t="s">
        <v>56</v>
      </c>
      <c r="C13" s="19" t="n">
        <v>128.4</v>
      </c>
    </row>
    <row r="14" customFormat="false" ht="15" hidden="false" customHeight="false" outlineLevel="0" collapsed="false">
      <c r="A14" s="21" t="n">
        <v>46249</v>
      </c>
      <c r="B14" s="9" t="s">
        <v>56</v>
      </c>
      <c r="C14" s="19" t="n">
        <v>115.66</v>
      </c>
    </row>
    <row r="15" customFormat="false" ht="15" hidden="false" customHeight="false" outlineLevel="0" collapsed="false">
      <c r="A15" s="21" t="n">
        <v>46256</v>
      </c>
      <c r="B15" s="9" t="s">
        <v>56</v>
      </c>
      <c r="C15" s="19" t="n">
        <v>121.7</v>
      </c>
    </row>
    <row r="16" customFormat="false" ht="15" hidden="false" customHeight="false" outlineLevel="0" collapsed="false">
      <c r="A16" s="21" t="n">
        <v>46263</v>
      </c>
      <c r="B16" s="9" t="s">
        <v>56</v>
      </c>
      <c r="C16" s="19" t="n">
        <v>180.81</v>
      </c>
    </row>
    <row r="17" customFormat="false" ht="15" hidden="false" customHeight="false" outlineLevel="0" collapsed="false">
      <c r="A17" s="21" t="n">
        <v>46228</v>
      </c>
      <c r="B17" s="9" t="s">
        <v>271</v>
      </c>
      <c r="C17" s="19" t="n">
        <v>146.54</v>
      </c>
    </row>
    <row r="18" customFormat="false" ht="15" hidden="false" customHeight="false" outlineLevel="0" collapsed="false">
      <c r="A18" s="21" t="n">
        <v>46235</v>
      </c>
      <c r="B18" s="9" t="s">
        <v>271</v>
      </c>
      <c r="C18" s="19" t="n">
        <v>117.84</v>
      </c>
    </row>
    <row r="19" customFormat="false" ht="15" hidden="false" customHeight="false" outlineLevel="0" collapsed="false">
      <c r="A19" s="21" t="n">
        <v>46242</v>
      </c>
      <c r="B19" s="9" t="s">
        <v>271</v>
      </c>
      <c r="C19" s="19" t="n">
        <v>128.51</v>
      </c>
    </row>
    <row r="20" customFormat="false" ht="15" hidden="false" customHeight="false" outlineLevel="0" collapsed="false">
      <c r="A20" s="21" t="n">
        <v>46249</v>
      </c>
      <c r="B20" s="9" t="s">
        <v>271</v>
      </c>
      <c r="C20" s="19" t="n">
        <v>119.99</v>
      </c>
    </row>
    <row r="21" customFormat="false" ht="15" hidden="false" customHeight="false" outlineLevel="0" collapsed="false">
      <c r="A21" s="21" t="n">
        <v>46256</v>
      </c>
      <c r="B21" s="9" t="s">
        <v>271</v>
      </c>
      <c r="C21" s="19" t="n">
        <v>129.36</v>
      </c>
    </row>
    <row r="22" customFormat="false" ht="15" hidden="false" customHeight="false" outlineLevel="0" collapsed="false">
      <c r="A22" s="21" t="n">
        <v>46263</v>
      </c>
      <c r="B22" s="9" t="s">
        <v>271</v>
      </c>
      <c r="C22" s="19" t="n">
        <v>182.44</v>
      </c>
    </row>
    <row r="23" customFormat="false" ht="15" hidden="false" customHeight="false" outlineLevel="0" collapsed="false">
      <c r="A23" s="21" t="n">
        <v>46228</v>
      </c>
      <c r="B23" s="9" t="s">
        <v>68</v>
      </c>
      <c r="C23" s="19" t="n">
        <v>146.54</v>
      </c>
    </row>
    <row r="24" customFormat="false" ht="15" hidden="false" customHeight="false" outlineLevel="0" collapsed="false">
      <c r="A24" s="21" t="n">
        <v>46235</v>
      </c>
      <c r="B24" s="9" t="s">
        <v>68</v>
      </c>
      <c r="C24" s="19" t="n">
        <v>117.9</v>
      </c>
    </row>
    <row r="25" customFormat="false" ht="15" hidden="false" customHeight="false" outlineLevel="0" collapsed="false">
      <c r="A25" s="21" t="n">
        <v>46242</v>
      </c>
      <c r="B25" s="9" t="s">
        <v>68</v>
      </c>
      <c r="C25" s="19" t="n">
        <v>128.52</v>
      </c>
    </row>
    <row r="26" customFormat="false" ht="15" hidden="false" customHeight="false" outlineLevel="0" collapsed="false">
      <c r="A26" s="21" t="n">
        <v>46249</v>
      </c>
      <c r="B26" s="9" t="s">
        <v>68</v>
      </c>
      <c r="C26" s="19" t="n">
        <v>119.99</v>
      </c>
    </row>
    <row r="27" customFormat="false" ht="15" hidden="false" customHeight="false" outlineLevel="0" collapsed="false">
      <c r="A27" s="21" t="n">
        <v>46256</v>
      </c>
      <c r="B27" s="9" t="s">
        <v>68</v>
      </c>
      <c r="C27" s="19" t="n">
        <v>129.37</v>
      </c>
    </row>
    <row r="28" customFormat="false" ht="15" hidden="false" customHeight="false" outlineLevel="0" collapsed="false">
      <c r="A28" s="21" t="n">
        <v>46263</v>
      </c>
      <c r="B28" s="9" t="s">
        <v>68</v>
      </c>
      <c r="C28" s="19" t="n">
        <v>182.45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2026-09-09T11:01:59Z</dcterms:created>
  <dc:creator>openpyxl</dc:creator>
  <dc:description/>
  <dc:language>en-US</dc:language>
  <cp:lastModifiedBy/>
  <dcterms:modified xsi:type="dcterms:W3CDTF">2026-09-09T11:01:59Z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